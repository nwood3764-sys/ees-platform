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nuraenergyinc-my.sharepoint.com/personal/nicholas_wood_anuraenergy_org/Documents/Documents/"/>
    </mc:Choice>
  </mc:AlternateContent>
  <xr:revisionPtr revIDLastSave="0" documentId="8_{287249D5-6D99-4D1E-BF17-14BEA8F22EB4}" xr6:coauthVersionLast="47" xr6:coauthVersionMax="47" xr10:uidLastSave="{00000000-0000-0000-0000-000000000000}"/>
  <bookViews>
    <workbookView xWindow="15430" yWindow="-111" windowWidth="25854" windowHeight="15541" tabRatio="718" activeTab="1" xr2:uid="{00000000-000D-0000-FFFF-FFFF00000000}"/>
  </bookViews>
  <sheets>
    <sheet name="Energy Audit Invoice" sheetId="1" r:id="rId1"/>
    <sheet name="HOMES Proposal-Contract" sheetId="2" r:id="rId2"/>
    <sheet name="HOMES Project Invoice" sheetId="6" r:id="rId3"/>
    <sheet name="HEAR Proposal-Contract" sheetId="8" r:id="rId4"/>
    <sheet name="Resources" sheetId="9" r:id="rId5"/>
    <sheet name="Measure Description Bank" sheetId="10" r:id="rId6"/>
  </sheets>
  <definedNames>
    <definedName name="_xlnm.Print_Area" localSheetId="0">'Energy Audit Invoice'!$A$1:$L$61</definedName>
    <definedName name="_xlnm.Print_Area" localSheetId="3">'HEAR Proposal-Contract'!$A$1:$L$61</definedName>
    <definedName name="_xlnm.Print_Area" localSheetId="2">'HOMES Project Invoice'!$A$1:$L$60</definedName>
    <definedName name="_xlnm.Print_Area" localSheetId="1">'HOMES Proposal-Contract'!$A$1:$L$60</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40" i="2" l="1"/>
  <c r="P19" i="6"/>
  <c r="J44" i="6"/>
  <c r="P18" i="2"/>
  <c r="J44" i="2" s="1"/>
  <c r="K32" i="2" s="1"/>
  <c r="P19" i="2"/>
  <c r="I22" i="8"/>
  <c r="P19" i="8" s="1"/>
  <c r="I28" i="8" s="1"/>
  <c r="K31" i="8"/>
  <c r="O29" i="8"/>
  <c r="P18" i="8"/>
  <c r="C16" i="8"/>
  <c r="I15" i="8"/>
  <c r="C15" i="8"/>
  <c r="C14" i="8"/>
  <c r="I13" i="8"/>
  <c r="C13" i="8"/>
  <c r="I12" i="8"/>
  <c r="C12" i="8"/>
  <c r="I11" i="8"/>
  <c r="C11" i="8"/>
  <c r="K32" i="6"/>
  <c r="J40" i="6"/>
  <c r="O30" i="6"/>
  <c r="P29" i="6"/>
  <c r="P18" i="6"/>
  <c r="I15" i="6"/>
  <c r="I13" i="6"/>
  <c r="I12" i="6"/>
  <c r="I11" i="6"/>
  <c r="C16" i="6"/>
  <c r="C15" i="6"/>
  <c r="C14" i="6"/>
  <c r="C13" i="6"/>
  <c r="C12" i="6"/>
  <c r="C11" i="6"/>
  <c r="I15" i="2"/>
  <c r="I12" i="2"/>
  <c r="I13" i="2"/>
  <c r="I11" i="2"/>
  <c r="C12" i="2"/>
  <c r="C13" i="2"/>
  <c r="C14" i="2"/>
  <c r="C15" i="2"/>
  <c r="C16" i="2"/>
  <c r="C11" i="2"/>
  <c r="O30" i="2"/>
  <c r="P20" i="2" l="1"/>
  <c r="P24" i="2" s="1"/>
  <c r="P20" i="8"/>
  <c r="I23" i="8"/>
  <c r="I25" i="8"/>
  <c r="P28" i="8"/>
  <c r="P24" i="8"/>
  <c r="P27" i="8"/>
  <c r="P23" i="8"/>
  <c r="P22" i="8"/>
  <c r="P26" i="8"/>
  <c r="P25" i="8"/>
  <c r="I26" i="8"/>
  <c r="I27" i="8"/>
  <c r="K30" i="8" s="1"/>
  <c r="L32" i="8" s="1"/>
  <c r="I24" i="8"/>
  <c r="P27" i="6"/>
  <c r="L28" i="6" s="1"/>
  <c r="P22" i="6"/>
  <c r="P23" i="6"/>
  <c r="L24" i="6" s="1"/>
  <c r="P24" i="6"/>
  <c r="L25" i="6" s="1"/>
  <c r="P25" i="6"/>
  <c r="L26" i="6" s="1"/>
  <c r="P28" i="6"/>
  <c r="L29" i="6" s="1"/>
  <c r="P26" i="6"/>
  <c r="L27" i="6" s="1"/>
  <c r="P20" i="6"/>
  <c r="K31" i="6"/>
  <c r="L33" i="6" s="1"/>
  <c r="P29" i="2"/>
  <c r="P28" i="2"/>
  <c r="P22" i="2"/>
  <c r="P23" i="2"/>
  <c r="P27" i="2"/>
  <c r="P26" i="2"/>
  <c r="P25" i="2"/>
  <c r="I29" i="2"/>
  <c r="I28" i="2"/>
  <c r="I27" i="2"/>
  <c r="L22" i="6"/>
  <c r="L29" i="8" l="1"/>
  <c r="L33" i="8" s="1"/>
  <c r="P29" i="8"/>
  <c r="P30" i="6"/>
  <c r="L23" i="6"/>
  <c r="L30" i="6" s="1"/>
  <c r="L34" i="6" s="1"/>
  <c r="K31" i="2" l="1"/>
  <c r="K27" i="1"/>
  <c r="K26" i="1"/>
  <c r="L24" i="1"/>
  <c r="L23" i="1"/>
  <c r="L22" i="1"/>
  <c r="L21" i="1"/>
  <c r="L23" i="2" l="1"/>
  <c r="L25" i="2"/>
  <c r="L27" i="2"/>
  <c r="L29" i="2"/>
  <c r="L22" i="2"/>
  <c r="L33" i="2"/>
  <c r="L28" i="1"/>
  <c r="L25" i="1"/>
  <c r="L29" i="1" s="1"/>
  <c r="L24" i="2" l="1"/>
  <c r="L26" i="2" l="1"/>
  <c r="L28" i="2" l="1"/>
  <c r="L30" i="2" s="1"/>
  <c r="L34" i="2" s="1"/>
  <c r="P3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Brittin Wood</author>
  </authors>
  <commentList>
    <comment ref="N21" authorId="0" shapeId="0" xr:uid="{17D58C09-1A4A-4FAF-BA34-CE9401AE9F8F}">
      <text>
        <r>
          <rPr>
            <b/>
            <sz val="9"/>
            <color indexed="81"/>
            <rFont val="Tahoma"/>
            <family val="2"/>
          </rPr>
          <t>Brittin Wood:</t>
        </r>
        <r>
          <rPr>
            <sz val="9"/>
            <color indexed="81"/>
            <rFont val="Tahoma"/>
            <family val="2"/>
          </rPr>
          <t xml:space="preserve">
*Adjust percentages as needed to land on the full rebate amount but still total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Brittin Wood</author>
  </authors>
  <commentList>
    <comment ref="N21" authorId="0" shapeId="0" xr:uid="{B75F85D2-9ADF-44E2-8DB1-88098824D981}">
      <text>
        <r>
          <rPr>
            <b/>
            <sz val="9"/>
            <color indexed="81"/>
            <rFont val="Tahoma"/>
            <family val="2"/>
          </rPr>
          <t>Brittin Wood:</t>
        </r>
        <r>
          <rPr>
            <sz val="9"/>
            <color indexed="81"/>
            <rFont val="Tahoma"/>
            <family val="2"/>
          </rPr>
          <t xml:space="preserve">
*Adjust percentages as needed to land on the full rebate amount but still total 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Brittin Wood</author>
  </authors>
  <commentList>
    <comment ref="N21" authorId="0" shapeId="0" xr:uid="{588C47F8-FABC-4470-BB68-4B659191FBF8}">
      <text>
        <r>
          <rPr>
            <b/>
            <sz val="9"/>
            <color indexed="81"/>
            <rFont val="Tahoma"/>
            <family val="2"/>
          </rPr>
          <t>Brittin Wood:</t>
        </r>
        <r>
          <rPr>
            <sz val="9"/>
            <color indexed="81"/>
            <rFont val="Tahoma"/>
            <family val="2"/>
          </rPr>
          <t xml:space="preserve">
*Adjust percentages as needed to land on the full rebate amount but still total 100%.</t>
        </r>
      </text>
    </comment>
  </commentList>
</comments>
</file>

<file path=xl/sharedStrings.xml><?xml version="1.0" encoding="utf-8"?>
<sst xmlns="http://schemas.openxmlformats.org/spreadsheetml/2006/main" count="439" uniqueCount="190">
  <si>
    <t>ENERGY EFFICIENCY SERVICES  of WISCONSIN</t>
  </si>
  <si>
    <t>112 Owen Rd. PO Box 6141  |  Monona, WI 53716  |  608-460-7419</t>
  </si>
  <si>
    <t>Invoice No.:</t>
  </si>
  <si>
    <t>INV-WI-</t>
  </si>
  <si>
    <t>Invoice Date:</t>
  </si>
  <si>
    <t>Invoice Date</t>
  </si>
  <si>
    <t>Due Date:</t>
  </si>
  <si>
    <t>Net 30</t>
  </si>
  <si>
    <t>Customer &amp; Property Installation Information</t>
  </si>
  <si>
    <t>Property Owner:</t>
  </si>
  <si>
    <t>Property Name:</t>
  </si>
  <si>
    <t>Owner Address:</t>
  </si>
  <si>
    <t>Installation Address:</t>
  </si>
  <si>
    <t>City, State Zip</t>
  </si>
  <si>
    <t>City, State Zip:</t>
  </si>
  <si>
    <t>Contact Name:</t>
  </si>
  <si>
    <t>Property Type:</t>
  </si>
  <si>
    <t>Multifamily</t>
  </si>
  <si>
    <t>Email:</t>
  </si>
  <si>
    <t>IQ Number:</t>
  </si>
  <si>
    <t>Phone:</t>
  </si>
  <si>
    <t>Audit Services</t>
  </si>
  <si>
    <t>Registered Contractor Name:</t>
  </si>
  <si>
    <t>Energy Efficiency Services of Wisconsin</t>
  </si>
  <si>
    <t>#</t>
  </si>
  <si>
    <t>Service Description</t>
  </si>
  <si>
    <t>Qty</t>
  </si>
  <si>
    <t>Unit</t>
  </si>
  <si>
    <t>Unit Rate ($)</t>
  </si>
  <si>
    <t>Total</t>
  </si>
  <si>
    <t>1</t>
  </si>
  <si>
    <t>Whole-Building Energy Audit — Multifamily</t>
  </si>
  <si>
    <t>Building</t>
  </si>
  <si>
    <t>2</t>
  </si>
  <si>
    <t>Per-Unit Blower Door and Diagnostic Testing</t>
  </si>
  <si>
    <t>included</t>
  </si>
  <si>
    <t>3</t>
  </si>
  <si>
    <t>Common Area and Building Envelope Assessment</t>
  </si>
  <si>
    <t>Lump Sum</t>
  </si>
  <si>
    <t>4</t>
  </si>
  <si>
    <t>Mechanical Systems Survey</t>
  </si>
  <si>
    <t>Gross Total</t>
  </si>
  <si>
    <t>Non-IRA Rebates*</t>
  </si>
  <si>
    <t>IRA Rebates*</t>
  </si>
  <si>
    <t>Total Rebates</t>
  </si>
  <si>
    <t>TOTAL DUE</t>
  </si>
  <si>
    <t>Deliverables</t>
  </si>
  <si>
    <t>Deliverable</t>
  </si>
  <si>
    <t>Start Date</t>
  </si>
  <si>
    <t>End Date</t>
  </si>
  <si>
    <t>Notes</t>
  </si>
  <si>
    <t>Whole-Building Energy Audit Report (ASHRAE Level II equivalent)</t>
  </si>
  <si>
    <t>HPXML v4/Building Sync File from Asset Score</t>
  </si>
  <si>
    <t>Customer Report / Building Assessment Tool Report</t>
  </si>
  <si>
    <t>*Rebates &amp; Incentives</t>
  </si>
  <si>
    <t>Program</t>
  </si>
  <si>
    <t>Incentive Desciption</t>
  </si>
  <si>
    <t>Amount</t>
  </si>
  <si>
    <t>NON-IRA</t>
  </si>
  <si>
    <t>Focus on Energy - Instant Discount</t>
  </si>
  <si>
    <t>Focus on Energy - Other</t>
  </si>
  <si>
    <t>Utility Rebate - Midstream Instant Discount</t>
  </si>
  <si>
    <t>Utility Rebate - Other</t>
  </si>
  <si>
    <t>IRA</t>
  </si>
  <si>
    <t>IRA HOMES Incentive - Instant Discount</t>
  </si>
  <si>
    <t>IQ MF Audit Rebate/Building</t>
  </si>
  <si>
    <t>IRA HOMES Incentive - Other</t>
  </si>
  <si>
    <t>REBATE ASSIGNMENT NOTICE: TheWisconsin IRA rebate reflected above has been assigned by the property owner to Energy Efficiency Services, Inc. (EES-WI) and will be applied directly to reduce this invoice. Owner is not required to front or await reimbursement of the assigned rebate amount.</t>
  </si>
  <si>
    <t>Additional Notes:</t>
  </si>
  <si>
    <t>Acknowledgment &amp; Acceptance</t>
  </si>
  <si>
    <t>Receipt of this invoice constitutes acknowledgment of the services delivered. The property owner confirms the work performed and authorizes EES-WI to submit for and receive the corresponding program incentive on their behalf.</t>
  </si>
  <si>
    <t>Property Owner / Authorized Representative</t>
  </si>
  <si>
    <t>Date</t>
  </si>
  <si>
    <t>Questions? Contact EES-WI  |  ira@ees-wi.org |  608-460-7419</t>
  </si>
  <si>
    <t>ENERGY EFFICIENCY SERVICES of WISCONSIN</t>
  </si>
  <si>
    <t>Proposal No.:</t>
  </si>
  <si>
    <t>HOMES-MF-</t>
  </si>
  <si>
    <t xml:space="preserve"> Date:</t>
  </si>
  <si>
    <t>Proposal Date</t>
  </si>
  <si>
    <t>Valid for:</t>
  </si>
  <si>
    <t>30 days</t>
  </si>
  <si>
    <t>Number of Units:</t>
  </si>
  <si>
    <t>&lt;&lt;------</t>
  </si>
  <si>
    <t>Enter</t>
  </si>
  <si>
    <t>Proposed Scope of Work - HOMES PROJECT</t>
  </si>
  <si>
    <t>Homes Rebate:</t>
  </si>
  <si>
    <t>Estimated Start Date:</t>
  </si>
  <si>
    <t>Estimated Completion Date:</t>
  </si>
  <si>
    <t>FOE Rebate:</t>
  </si>
  <si>
    <t>Total Rebate:</t>
  </si>
  <si>
    <t>Measure Line Item</t>
  </si>
  <si>
    <t>Measure Description</t>
  </si>
  <si>
    <t>Cost</t>
  </si>
  <si>
    <t>Breakout*:</t>
  </si>
  <si>
    <t>Attic Insulation</t>
  </si>
  <si>
    <t>Sq Ft</t>
  </si>
  <si>
    <t>Attic Air Sealing</t>
  </si>
  <si>
    <t>Low Flow Devices: Bath Aerators</t>
  </si>
  <si>
    <t>Low Flow Devices: Kitchen Aerators</t>
  </si>
  <si>
    <t>Low Flow Devices: Showerheads</t>
  </si>
  <si>
    <t>Energy Star Ventilation</t>
  </si>
  <si>
    <t>Energy Star Heating &amp; Cooling Equipment</t>
  </si>
  <si>
    <t>Energy Star Appliances</t>
  </si>
  <si>
    <t>Needs to Equal P19</t>
  </si>
  <si>
    <t>Applicable Rebates &amp; Incentives</t>
  </si>
  <si>
    <t>$0.55 per Sq. Ft.</t>
  </si>
  <si>
    <t>Utility Rebate - Instant Discount</t>
  </si>
  <si>
    <t>IRA HOMES - Instant Discount</t>
  </si>
  <si>
    <t>IQ at &lt;80% AMI and modeled energy savings of 35% or greater</t>
  </si>
  <si>
    <t>$10,000.00 per unit</t>
  </si>
  <si>
    <t>IRA HOMES - Other</t>
  </si>
  <si>
    <t>REBATE ASSIGNMENT NOTICE: TheWisconsin IRA rebate reflected above will be assigned by the property owner to Energy Efficiency Services, Inc. (EES-WI) and will be applied directly to reduce the future invoice. Owner is not required to front or await reimbursement of the assigned rebate amount.</t>
  </si>
  <si>
    <t xml:space="preserve">Signed receipt of this proposal constitutes acceptance of the proposed scope of work. The property owner authorizes EES-WI to submit the project for rebate/incentive program preapproval and to begin project planning activities. </t>
  </si>
  <si>
    <t>EST-WI-</t>
  </si>
  <si>
    <t>INVOICE AMOUNTS MUST MATCH THE PROPOSAL!!</t>
  </si>
  <si>
    <t>Installed Scope of Work - HOMES PROJECT</t>
  </si>
  <si>
    <t>Start Date:</t>
  </si>
  <si>
    <t>Completion Date:</t>
  </si>
  <si>
    <t>HEAR-MF-</t>
  </si>
  <si>
    <t>ENERGY STAR® electric heat pump water heater </t>
  </si>
  <si>
    <t>ENERGY STAR electric heat pump for space heating and cooling</t>
  </si>
  <si>
    <t>Electrical load service center (electrical panel)</t>
  </si>
  <si>
    <t>Electrical Wiring</t>
  </si>
  <si>
    <t>ENERGY STAR ventilation</t>
  </si>
  <si>
    <t>ENERGY STAR electric heat pump clothes dryer</t>
  </si>
  <si>
    <t>ENERGY STAR electric stove, ENERGY STAR cooktop, ENERGY STAR range*</t>
  </si>
  <si>
    <t>HEAR Rebate</t>
  </si>
  <si>
    <t>Measure</t>
  </si>
  <si>
    <t>Midstream HP Tier 4 (16.0 SEER2, 10.0 HSPF2)</t>
  </si>
  <si>
    <t>FOCUS ON ENERY WEATHERIZATION REBATES</t>
  </si>
  <si>
    <t>SINGLE FAMILY HOMES</t>
  </si>
  <si>
    <t>MULTIFAMILY BUILDINGS</t>
  </si>
  <si>
    <t>Single-Family Home (1-3 Units) Insulation and Air Sealing</t>
  </si>
  <si>
    <t>Rebate for Higher-Income Households (Above 150% Area Median Income (AMI))</t>
  </si>
  <si>
    <t>Rebate for Moderate-Income Households (Between 80% and 150% AMI)</t>
  </si>
  <si>
    <t>Rebate for Low-Income Households (Below 80% AMI)</t>
  </si>
  <si>
    <t>Insulation &amp; Air Sealing Multifamily Home (4+units)</t>
  </si>
  <si>
    <t>Rebate</t>
  </si>
  <si>
    <t>ENERGY STAR® Qualified Air Sealing Energy assessment required.*</t>
  </si>
  <si>
    <t>Air Sealing &amp; Attic Insulation, Existing &lt; R-11</t>
  </si>
  <si>
    <t>$1.00 per sq. ft. of attic space</t>
  </si>
  <si>
    <t>Air Sealing &amp; Attic Insulation, Existing R-12 to R-19</t>
  </si>
  <si>
    <t>$0.70 per sq. ft of attic space</t>
  </si>
  <si>
    <t>Foundation Insulation</t>
  </si>
  <si>
    <t>Air Sealing &amp; Attic Insulation, Existing R-20 to R-38</t>
  </si>
  <si>
    <t>$0.55 per sq. ft of attic space</t>
  </si>
  <si>
    <t>Sill Insulation</t>
  </si>
  <si>
    <t>Exterior Wall Insulation, Existing &lt;R5</t>
  </si>
  <si>
    <t>$0.80 per sq. ft of wall area improved</t>
  </si>
  <si>
    <t>Wall Insulation</t>
  </si>
  <si>
    <t>Seal and Insulate Ducts in a Semi-Conditioned Space</t>
  </si>
  <si>
    <t>Seal and Insulation Ducts in an Unconditioned Space</t>
  </si>
  <si>
    <t>DIY Attic Insulation &amp; Air Sealing</t>
  </si>
  <si>
    <t>*Must be completed along with Trade Ally contractor-installed attic or wall insulation improvements. Please review the Program Requirements tab for full participation requirements.</t>
  </si>
  <si>
    <t>HEAR Upgrade</t>
  </si>
  <si>
    <t>Rebate Max Per Product Category</t>
  </si>
  <si>
    <t>Registered Contractor or Store</t>
  </si>
  <si>
    <t>Eligible for New Construction</t>
  </si>
  <si>
    <t>Up to $1,750</t>
  </si>
  <si>
    <t>Registered Contractor or Store Purchase</t>
  </si>
  <si>
    <t>Yes</t>
  </si>
  <si>
    <t>Up to $8,000</t>
  </si>
  <si>
    <t>Registered Contractor</t>
  </si>
  <si>
    <t>Up to $4,000</t>
  </si>
  <si>
    <t>No</t>
  </si>
  <si>
    <t>Up to $2,500</t>
  </si>
  <si>
    <t>ENERGY STAR Insulation, ENERGY STAR ventilation, air sealing</t>
  </si>
  <si>
    <t>Up to $1,600</t>
  </si>
  <si>
    <t>Up to $840</t>
  </si>
  <si>
    <t>Store Purchase</t>
  </si>
  <si>
    <t>Install eave baffles with 48-inch extensions in each accessible attic bay to maintain ventilation pathways and allow full insulation coverage above exterior wall top plates.</t>
  </si>
  <si>
    <t>Install insulation rulers in each attic bay on both sides to verify uniform insulation depth and ensure consistent installed R-values throughout the attic plane.</t>
  </si>
  <si>
    <t>Custom build and install insulated attic access hatches including insulation damming, insulated access covers, and weatherstripping to minimize thermal bypass and air leakage.</t>
  </si>
  <si>
    <t>All insulation materials and installation methods will comply with applicable code requirements, manufacturer specifications, and accepted energy efficiency best practices.</t>
  </si>
  <si>
    <r>
      <t>Upgrade existing attic insulation levels [</t>
    </r>
    <r>
      <rPr>
        <sz val="11"/>
        <color rgb="FFC00000"/>
        <rFont val="Calibri"/>
        <family val="2"/>
      </rPr>
      <t>of R-XX</t>
    </r>
    <r>
      <rPr>
        <sz val="11"/>
        <color theme="1"/>
        <rFont val="Calibri"/>
        <family val="2"/>
        <charset val="1"/>
      </rPr>
      <t>] to R-49 in accordance with applicable PNNL building science standards and program requirements to improve thermal performance, reduce energy consumption, and enhance occupant comfort. Work will include preparation of attic areas to support proper airflow, insulation depth consistency, and long-term system performance.</t>
    </r>
  </si>
  <si>
    <t>Install blown-in fiberglass insulation to achieve a minimum final attic insulation value of R-49 across all accessible attic areas.</t>
  </si>
  <si>
    <t>Scope of work includes identification and sealing of accessible air leakage pathways including, but not limited to:</t>
  </si>
  <si>
    <t>Plumbing penetrations</t>
  </si>
  <si>
    <t>Electrical penetrations</t>
  </si>
  <si>
    <t>Top plates</t>
  </si>
  <si>
    <t>Mechanical and duct penetrations</t>
  </si>
  <si>
    <t>Soffits and open chases</t>
  </si>
  <si>
    <t>Attic access openings</t>
  </si>
  <si>
    <t>Miscellaneous bypasses and framing gaps</t>
  </si>
  <si>
    <t>Fabricated isolation boxes for exhaust fans and recessed lights</t>
  </si>
  <si>
    <t>Approved sealants, foam products, sheet materials, and weatherstripping will be utilized as appropriate for each application to improve building envelope tightness, reduce heating and cooling loads, and improve overall occupant comfort and building durability.</t>
  </si>
  <si>
    <t>Installation of low flow faucet aerators in tenant bathrooms for water and energy savings. Model: Niagara 0.5 GPM Aerator N3205N</t>
  </si>
  <si>
    <t>Installation of low flow faucet aerators in tenant kitchens for water and energy savings. Model: Niagara 0.5 GPM Aerator N3205N</t>
  </si>
  <si>
    <t>Installation of low flow handheld showerheads in tenant bathrooms for water and energy savings. Model: Niagara Earth Handheld Showerhead N2945CH</t>
  </si>
  <si>
    <t>Perform attic air sealing to reduce uncontrolled air leakage between conditioned spaces and unconditioned attic areas in accordance with PNNL air barrier and weatherization best practices. Removal and disposal of existing insulation material will prepare the attic space for proper air sealing. Air sealing work will be completed prior to insulation installation to maximize thermal effectiveness and moisture control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</si>
</sst>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164" formatCode="\$#,##0;&quot;($&quot;#,##0\);\-"/>
    <numFmt numFmtId="165" formatCode="mm/dd/yyyy"/>
    <numFmt numFmtId="166" formatCode="\$#,##0.00;&quot;($&quot;#,##0.00\);\-"/>
    <numFmt numFmtId="167" formatCode="_([$$-409]* #,##0.00_);_([$$-409]* \(#,##0.00\);_([$$-409]* &quot;-&quot;??_);_(@_)"/>
    <numFmt numFmtId="168" formatCode="_([$$-409]* #,##0.0_);_([$$-409]* \(#,##0.0\);_([$$-409]* &quot;-&quot;??_);_(@_)"/>
  </numFmts>
  <fonts count="31">
    <font>
      <sz val="11"/>
      <color theme="1"/>
      <name val="Calibri"/>
      <family val="2"/>
      <charset val="1"/>
    </font>
    <font>
      <b/>
      <sz val="12"/>
      <color rgb="FF0F3460"/>
      <name val="Calibri"/>
      <family val="2"/>
    </font>
    <font>
      <sz val="18"/>
      <color theme="1"/>
      <name val="Calibri"/>
      <family val="2"/>
    </font>
    <font>
      <sz val="12"/>
      <color theme="1"/>
      <name val="Calibri"/>
      <family val="2"/>
    </font>
    <font>
      <b/>
      <sz val="12"/>
      <color rgb="FF1A1A1A"/>
      <name val="Calibri"/>
      <family val="2"/>
    </font>
    <font>
      <sz val="12"/>
      <name val="Calibri"/>
      <family val="2"/>
    </font>
    <font>
      <sz val="12"/>
      <color rgb="FFC97A1A"/>
      <name val="Calibri"/>
      <family val="2"/>
    </font>
    <font>
      <b/>
      <sz val="12"/>
      <color rgb="FFFFFFFF"/>
      <name val="Calibri"/>
      <family val="2"/>
    </font>
    <font>
      <sz val="12"/>
      <color rgb="FF1A1A1A"/>
      <name val="Calibri"/>
      <family val="2"/>
    </font>
    <font>
      <b/>
      <sz val="12"/>
      <color rgb="FF0B6E72"/>
      <name val="Calibri"/>
      <family val="2"/>
    </font>
    <font>
      <sz val="12"/>
      <color rgb="FF9CA3AF"/>
      <name val="Calibri"/>
      <family val="2"/>
    </font>
    <font>
      <i/>
      <sz val="12"/>
      <color rgb="FF9CA3AF"/>
      <name val="Calibri"/>
      <family val="2"/>
    </font>
    <font>
      <b/>
      <i/>
      <sz val="9"/>
      <color rgb="FF0F3460"/>
      <name val="Calibri"/>
      <family val="2"/>
    </font>
    <font>
      <b/>
      <sz val="20"/>
      <color rgb="FFFFFFFF"/>
      <name val="Calibri"/>
      <family val="2"/>
    </font>
    <font>
      <sz val="16"/>
      <color rgb="FFFFFFFF"/>
      <name val="Calibri"/>
      <family val="2"/>
    </font>
    <font>
      <sz val="12"/>
      <color rgb="FF0F3460"/>
      <name val="Calibri"/>
      <family val="2"/>
    </font>
    <font>
      <b/>
      <sz val="11"/>
      <color rgb="FFFFFFFF"/>
      <name val="Calibri"/>
      <family val="2"/>
    </font>
    <font>
      <sz val="11"/>
      <color theme="1"/>
      <name val="Calibri"/>
      <family val="2"/>
      <charset val="1"/>
    </font>
    <font>
      <b/>
      <sz val="12"/>
      <color theme="1"/>
      <name val="Calibri"/>
      <family val="2"/>
    </font>
    <font>
      <b/>
      <sz val="14"/>
      <color rgb="FFFF0000"/>
      <name val="Calibri"/>
      <family val="2"/>
    </font>
    <font>
      <i/>
      <sz val="11"/>
      <name val="Calibri"/>
      <family val="2"/>
    </font>
    <font>
      <b/>
      <sz val="9"/>
      <color indexed="81"/>
      <name val="Tahoma"/>
      <family val="2"/>
    </font>
    <font>
      <sz val="9"/>
      <color indexed="81"/>
      <name val="Tahoma"/>
      <family val="2"/>
    </font>
    <font>
      <u/>
      <sz val="11"/>
      <color theme="10"/>
      <name val="Calibri"/>
      <family val="2"/>
      <charset val="1"/>
    </font>
    <font>
      <b/>
      <sz val="10"/>
      <color rgb="FF000000"/>
      <name val="Inter"/>
    </font>
    <font>
      <sz val="10"/>
      <color theme="1"/>
      <name val="Calibri"/>
      <family val="2"/>
      <charset val="1"/>
    </font>
    <font>
      <sz val="11"/>
      <color rgb="FF000000"/>
      <name val="Inter"/>
    </font>
    <font>
      <sz val="14"/>
      <color rgb="FFFFFFFF"/>
      <name val="Inter"/>
    </font>
    <font>
      <b/>
      <sz val="14"/>
      <color rgb="FFFFFFFF"/>
      <name val="Inter"/>
    </font>
    <font>
      <b/>
      <sz val="16"/>
      <color theme="1"/>
      <name val="Calibri"/>
      <family val="2"/>
    </font>
    <font>
      <sz val="11"/>
      <color rgb="FFC00000"/>
      <name val="Calibri"/>
      <family val="2"/>
    </font>
  </fonts>
  <fills count="14">
    <fill>
      <patternFill patternType="none"/>
    </fill>
    <fill>
      <patternFill patternType="gray125"/>
    </fill>
    <fill>
      <patternFill patternType="solid">
        <fgColor rgb="FF0F3460"/>
        <bgColor rgb="FF333399"/>
      </patternFill>
    </fill>
    <fill>
      <patternFill patternType="solid">
        <fgColor rgb="FF0B6E72"/>
        <bgColor rgb="FF008080"/>
      </patternFill>
    </fill>
    <fill>
      <patternFill patternType="solid">
        <fgColor rgb="FFFFF8EC"/>
        <bgColor rgb="FFFFFFFF"/>
      </patternFill>
    </fill>
    <fill>
      <patternFill patternType="solid">
        <fgColor rgb="FF3A9DBF"/>
        <bgColor rgb="FF008080"/>
      </patternFill>
    </fill>
    <fill>
      <patternFill patternType="solid">
        <fgColor rgb="FFFFFFFF"/>
        <bgColor rgb="FFFFF8EC"/>
      </patternFill>
    </fill>
    <fill>
      <patternFill patternType="solid">
        <fgColor rgb="FFD6EFE1"/>
        <bgColor rgb="FFDFF0F7"/>
      </patternFill>
    </fill>
    <fill>
      <patternFill patternType="solid">
        <fgColor rgb="FFDFF0F7"/>
        <bgColor rgb="FFE5E7EB"/>
      </patternFill>
    </fill>
    <fill>
      <patternFill patternType="solid">
        <fgColor rgb="FFD6EFE1"/>
        <bgColor rgb="FFFFF8EC"/>
      </patternFill>
    </fill>
    <fill>
      <patternFill patternType="solid">
        <fgColor rgb="FFFFFF00"/>
        <bgColor indexed="64"/>
      </patternFill>
    </fill>
    <fill>
      <patternFill patternType="solid">
        <fgColor rgb="FFFFFFFF"/>
        <bgColor indexed="64"/>
      </patternFill>
    </fill>
    <fill>
      <patternFill patternType="solid">
        <fgColor rgb="FFF8FAFC"/>
        <bgColor indexed="64"/>
      </patternFill>
    </fill>
    <fill>
      <patternFill patternType="solid">
        <fgColor rgb="FF034EA2"/>
        <bgColor indexed="64"/>
      </patternFill>
    </fill>
  </fills>
  <borders count="101">
    <border>
      <left/>
      <right/>
      <top/>
      <bottom/>
      <diagonal/>
    </border>
    <border>
      <left style="thin">
        <color rgb="FFC97A1A"/>
      </left>
      <right style="thin">
        <color rgb="FFC97A1A"/>
      </right>
      <top style="thin">
        <color rgb="FFC97A1A"/>
      </top>
      <bottom style="thin">
        <color rgb="FFC97A1A"/>
      </bottom>
      <diagonal/>
    </border>
    <border>
      <left/>
      <right/>
      <top/>
      <bottom style="medium">
        <color rgb="FF3A9DBF"/>
      </bottom>
      <diagonal/>
    </border>
    <border>
      <left style="thin">
        <color rgb="FFC97A1A"/>
      </left>
      <right/>
      <top style="thin">
        <color rgb="FFC97A1A"/>
      </top>
      <bottom style="thin">
        <color rgb="FFC97A1A"/>
      </bottom>
      <diagonal/>
    </border>
    <border>
      <left style="thin">
        <color rgb="FF0B6E72"/>
      </left>
      <right style="thin">
        <color rgb="FF0B6E72"/>
      </right>
      <top style="thin">
        <color rgb="FF0B6E72"/>
      </top>
      <bottom style="thin">
        <color rgb="FF0B6E72"/>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style="thin">
        <color rgb="FF0B6E72"/>
      </left>
      <right/>
      <top style="thin">
        <color rgb="FF0B6E72"/>
      </top>
      <bottom style="thin">
        <color rgb="FF0B6E72"/>
      </bottom>
      <diagonal/>
    </border>
    <border>
      <left/>
      <right/>
      <top/>
      <bottom style="medium">
        <color rgb="FF0F3460"/>
      </bottom>
      <diagonal/>
    </border>
    <border>
      <left/>
      <right/>
      <top style="thin">
        <color rgb="FFC97A1A"/>
      </top>
      <bottom style="thin">
        <color rgb="FFC97A1A"/>
      </bottom>
      <diagonal/>
    </border>
    <border>
      <left/>
      <right style="thin">
        <color rgb="FFC97A1A"/>
      </right>
      <top style="thin">
        <color rgb="FFC97A1A"/>
      </top>
      <bottom style="thin">
        <color rgb="FFC97A1A"/>
      </bottom>
      <diagonal/>
    </border>
    <border>
      <left style="thin">
        <color rgb="FFC97A1A"/>
      </left>
      <right/>
      <top/>
      <bottom/>
      <diagonal/>
    </border>
    <border>
      <left style="thin">
        <color rgb="FF0B6E72"/>
      </left>
      <right/>
      <top style="medium">
        <color rgb="FF3A9DBF"/>
      </top>
      <bottom style="thin">
        <color rgb="FF0B6E72"/>
      </bottom>
      <diagonal/>
    </border>
    <border>
      <left/>
      <right style="thin">
        <color rgb="FF0B6E72"/>
      </right>
      <top style="medium">
        <color rgb="FF3A9DBF"/>
      </top>
      <bottom style="thin">
        <color rgb="FF0B6E72"/>
      </bottom>
      <diagonal/>
    </border>
    <border>
      <left/>
      <right style="thin">
        <color rgb="FFC97A1A"/>
      </right>
      <top/>
      <bottom/>
      <diagonal/>
    </border>
    <border>
      <left style="thin">
        <color rgb="FFC97A1A"/>
      </left>
      <right/>
      <top style="thin">
        <color rgb="FF0B6E72"/>
      </top>
      <bottom style="thin">
        <color rgb="FFC97A1A"/>
      </bottom>
      <diagonal/>
    </border>
    <border>
      <left/>
      <right style="thin">
        <color rgb="FFC97A1A"/>
      </right>
      <top style="thin">
        <color rgb="FF0B6E72"/>
      </top>
      <bottom style="thin">
        <color rgb="FFC97A1A"/>
      </bottom>
      <diagonal/>
    </border>
    <border>
      <left/>
      <right/>
      <top style="medium">
        <color rgb="FF3A9DBF"/>
      </top>
      <bottom style="thin">
        <color rgb="FF0B6E72"/>
      </bottom>
      <diagonal/>
    </border>
    <border>
      <left style="thin">
        <color rgb="FFE5E7EB"/>
      </left>
      <right style="thin">
        <color rgb="FFE5E7EB"/>
      </right>
      <top style="thin">
        <color rgb="FF0B6E72"/>
      </top>
      <bottom/>
      <diagonal/>
    </border>
    <border>
      <left style="thin">
        <color rgb="FFE5E7EB"/>
      </left>
      <right style="thin">
        <color rgb="FFE5E7EB"/>
      </right>
      <top/>
      <bottom/>
      <diagonal/>
    </border>
    <border>
      <left style="thin">
        <color rgb="FFE5E7EB"/>
      </left>
      <right style="thin">
        <color rgb="FFE5E7EB"/>
      </right>
      <top/>
      <bottom style="thin">
        <color rgb="FFE5E7EB"/>
      </bottom>
      <diagonal/>
    </border>
    <border>
      <left style="thin">
        <color rgb="FFE5E7EB"/>
      </left>
      <right style="thin">
        <color rgb="FFE5E7EB"/>
      </right>
      <top style="thin">
        <color rgb="FFE5E7EB"/>
      </top>
      <bottom/>
      <diagonal/>
    </border>
    <border>
      <left style="thin">
        <color rgb="FF0B6E72"/>
      </left>
      <right style="thin">
        <color rgb="FF0B6E72"/>
      </right>
      <top style="thin">
        <color rgb="FF0B6E72"/>
      </top>
      <bottom style="thin">
        <color rgb="FF002060"/>
      </bottom>
      <diagonal/>
    </border>
    <border>
      <left style="thin">
        <color rgb="FF0B6E72"/>
      </left>
      <right/>
      <top/>
      <bottom style="thin">
        <color rgb="FF0B6E72"/>
      </bottom>
      <diagonal/>
    </border>
    <border>
      <left style="thin">
        <color rgb="FF0B6E72"/>
      </left>
      <right style="thin">
        <color rgb="FF0B6E72"/>
      </right>
      <top/>
      <bottom style="thin">
        <color rgb="FF0B6E72"/>
      </bottom>
      <diagonal/>
    </border>
    <border>
      <left/>
      <right style="thin">
        <color rgb="FF0B6E72"/>
      </right>
      <top style="thin">
        <color rgb="FF002060"/>
      </top>
      <bottom style="thin">
        <color rgb="FF0B6E72"/>
      </bottom>
      <diagonal/>
    </border>
    <border>
      <left/>
      <right style="thin">
        <color rgb="FF0B6E72"/>
      </right>
      <top/>
      <bottom style="thin">
        <color rgb="FF002060"/>
      </bottom>
      <diagonal/>
    </border>
    <border>
      <left/>
      <right/>
      <top/>
      <bottom style="thin">
        <color rgb="FF002060"/>
      </bottom>
      <diagonal/>
    </border>
    <border>
      <left style="thin">
        <color rgb="FF0B6E72"/>
      </left>
      <right/>
      <top/>
      <bottom style="thin">
        <color rgb="FF002060"/>
      </bottom>
      <diagonal/>
    </border>
    <border>
      <left/>
      <right/>
      <top style="thin">
        <color rgb="FF3A9DBF"/>
      </top>
      <bottom/>
      <diagonal/>
    </border>
    <border>
      <left/>
      <right/>
      <top style="thin">
        <color rgb="FFC97A1A"/>
      </top>
      <bottom/>
      <diagonal/>
    </border>
    <border>
      <left style="thin">
        <color rgb="FFC97A1A"/>
      </left>
      <right/>
      <top style="thin">
        <color rgb="FFC97A1A"/>
      </top>
      <bottom/>
      <diagonal/>
    </border>
    <border>
      <left/>
      <right style="thin">
        <color rgb="FFC97A1A"/>
      </right>
      <top style="thin">
        <color rgb="FFC97A1A"/>
      </top>
      <bottom/>
      <diagonal/>
    </border>
    <border>
      <left style="thin">
        <color rgb="FFC97A1A"/>
      </left>
      <right/>
      <top/>
      <bottom style="thin">
        <color rgb="FFC97A1A"/>
      </bottom>
      <diagonal/>
    </border>
    <border>
      <left/>
      <right/>
      <top/>
      <bottom style="thin">
        <color rgb="FFC97A1A"/>
      </bottom>
      <diagonal/>
    </border>
    <border>
      <left/>
      <right style="thin">
        <color rgb="FFC97A1A"/>
      </right>
      <top/>
      <bottom style="thin">
        <color rgb="FFC97A1A"/>
      </bottom>
      <diagonal/>
    </border>
    <border>
      <left style="thin">
        <color rgb="FFE5E7EB"/>
      </left>
      <right/>
      <top style="thin">
        <color rgb="FF0B6E72"/>
      </top>
      <bottom style="thin">
        <color rgb="FFE5E7EB"/>
      </bottom>
      <diagonal/>
    </border>
    <border>
      <left/>
      <right/>
      <top style="thin">
        <color rgb="FF0B6E72"/>
      </top>
      <bottom style="thin">
        <color rgb="FFE5E7EB"/>
      </bottom>
      <diagonal/>
    </border>
    <border>
      <left/>
      <right style="thin">
        <color rgb="FFC97A1A"/>
      </right>
      <top style="thin">
        <color rgb="FF0B6E72"/>
      </top>
      <bottom style="thin">
        <color rgb="FFE5E7EB"/>
      </bottom>
      <diagonal/>
    </border>
    <border>
      <left/>
      <right/>
      <top style="thin">
        <color rgb="FFE5E7EB"/>
      </top>
      <bottom style="thin">
        <color rgb="FFE5E7EB"/>
      </bottom>
      <diagonal/>
    </border>
    <border>
      <left/>
      <right style="thin">
        <color rgb="FFC97A1A"/>
      </right>
      <top style="thin">
        <color rgb="FFE5E7EB"/>
      </top>
      <bottom style="thin">
        <color rgb="FFE5E7EB"/>
      </bottom>
      <diagonal/>
    </border>
    <border>
      <left/>
      <right style="thin">
        <color rgb="FFE5E7EB"/>
      </right>
      <top style="thin">
        <color rgb="FF0B6E72"/>
      </top>
      <bottom style="thin">
        <color rgb="FFE5E7EB"/>
      </bottom>
      <diagonal/>
    </border>
    <border>
      <left/>
      <right style="thin">
        <color rgb="FFE5E7EB"/>
      </right>
      <top style="thin">
        <color rgb="FFE5E7EB"/>
      </top>
      <bottom style="thin">
        <color rgb="FFE5E7EB"/>
      </bottom>
      <diagonal/>
    </border>
    <border>
      <left/>
      <right/>
      <top style="medium">
        <color rgb="FF3A9DBF"/>
      </top>
      <bottom/>
      <diagonal/>
    </border>
    <border>
      <left style="thin">
        <color rgb="FFC97A1A"/>
      </left>
      <right/>
      <top/>
      <bottom style="thin">
        <color rgb="FF3A9DBF"/>
      </bottom>
      <diagonal/>
    </border>
    <border>
      <left/>
      <right/>
      <top/>
      <bottom style="thin">
        <color rgb="FF3A9DBF"/>
      </bottom>
      <diagonal/>
    </border>
    <border>
      <left style="thin">
        <color rgb="FFC97A1A"/>
      </left>
      <right/>
      <top style="medium">
        <color rgb="FF3A9DBF"/>
      </top>
      <bottom style="thin">
        <color rgb="FFC97A1A"/>
      </bottom>
      <diagonal/>
    </border>
    <border>
      <left/>
      <right/>
      <top style="medium">
        <color rgb="FF3A9DBF"/>
      </top>
      <bottom style="thin">
        <color rgb="FFC97A1A"/>
      </bottom>
      <diagonal/>
    </border>
    <border>
      <left/>
      <right/>
      <top style="thin">
        <color rgb="FF0B6E72"/>
      </top>
      <bottom style="thin">
        <color rgb="FFC97A1A"/>
      </bottom>
      <diagonal/>
    </border>
    <border>
      <left/>
      <right style="thin">
        <color rgb="FF0B6E72"/>
      </right>
      <top/>
      <bottom/>
      <diagonal/>
    </border>
    <border>
      <left/>
      <right style="thin">
        <color rgb="FF0B6E72"/>
      </right>
      <top/>
      <bottom style="thin">
        <color rgb="FF0B6E72"/>
      </bottom>
      <diagonal/>
    </border>
    <border>
      <left/>
      <right/>
      <top/>
      <bottom style="thin">
        <color rgb="FF0B6E72"/>
      </bottom>
      <diagonal/>
    </border>
    <border>
      <left style="thin">
        <color rgb="FF0B6E72"/>
      </left>
      <right/>
      <top style="thin">
        <color rgb="FF3A9DBF"/>
      </top>
      <bottom/>
      <diagonal/>
    </border>
    <border>
      <left/>
      <right style="thin">
        <color rgb="FF0B6E72"/>
      </right>
      <top style="thin">
        <color rgb="FF3A9DBF"/>
      </top>
      <bottom/>
      <diagonal/>
    </border>
    <border>
      <left/>
      <right style="thin">
        <color rgb="FFE5E7EB"/>
      </right>
      <top style="thin">
        <color rgb="FFE5E7EB"/>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right style="thin">
        <color rgb="FFC97A1A"/>
      </right>
      <top style="medium">
        <color rgb="FF3A9DBF"/>
      </top>
      <bottom style="thin">
        <color rgb="FFC97A1A"/>
      </bottom>
      <diagonal/>
    </border>
    <border>
      <left style="thin">
        <color rgb="FF002060"/>
      </left>
      <right/>
      <top style="thin">
        <color rgb="FF002060"/>
      </top>
      <bottom/>
      <diagonal/>
    </border>
    <border>
      <left/>
      <right/>
      <top style="thin">
        <color rgb="FF002060"/>
      </top>
      <bottom/>
      <diagonal/>
    </border>
    <border>
      <left style="thin">
        <color rgb="FF0B6E72"/>
      </left>
      <right style="thin">
        <color rgb="FF0B6E72"/>
      </right>
      <top style="thin">
        <color rgb="FF002060"/>
      </top>
      <bottom style="thin">
        <color rgb="FF0B6E72"/>
      </bottom>
      <diagonal/>
    </border>
    <border>
      <left style="thin">
        <color rgb="FF002060"/>
      </left>
      <right/>
      <top/>
      <bottom style="thin">
        <color rgb="FF002060"/>
      </bottom>
      <diagonal/>
    </border>
    <border>
      <left style="thin">
        <color rgb="FF0B6E72"/>
      </left>
      <right/>
      <top style="thin">
        <color rgb="FF002060"/>
      </top>
      <bottom style="thin">
        <color rgb="FF002060"/>
      </bottom>
      <diagonal/>
    </border>
    <border>
      <left/>
      <right style="thin">
        <color rgb="FF0B6E72"/>
      </right>
      <top style="thin">
        <color rgb="FF002060"/>
      </top>
      <bottom style="thin">
        <color rgb="FF002060"/>
      </bottom>
      <diagonal/>
    </border>
    <border>
      <left style="thin">
        <color rgb="FF0B6E72"/>
      </left>
      <right style="thin">
        <color rgb="FF0B6E72"/>
      </right>
      <top/>
      <bottom/>
      <diagonal/>
    </border>
    <border>
      <left style="thin">
        <color rgb="FF0B6E72"/>
      </left>
      <right style="thin">
        <color rgb="FF0B6E72"/>
      </right>
      <top/>
      <bottom style="thin">
        <color rgb="FF002060"/>
      </bottom>
      <diagonal/>
    </border>
    <border>
      <left/>
      <right style="thin">
        <color rgb="FF0B6E72"/>
      </right>
      <top style="thin">
        <color rgb="FF0B6E72"/>
      </top>
      <bottom/>
      <diagonal/>
    </border>
    <border>
      <left style="thin">
        <color rgb="FFE5E7EB"/>
      </left>
      <right/>
      <top style="thin">
        <color rgb="FFE5E7EB"/>
      </top>
      <bottom/>
      <diagonal/>
    </border>
    <border>
      <left/>
      <right/>
      <top style="thin">
        <color rgb="FFE5E7EB"/>
      </top>
      <bottom/>
      <diagonal/>
    </border>
    <border>
      <left/>
      <right style="thin">
        <color rgb="FFC97A1A"/>
      </right>
      <top style="thin">
        <color rgb="FFE5E7EB"/>
      </top>
      <bottom/>
      <diagonal/>
    </border>
    <border>
      <left/>
      <right/>
      <top style="thin">
        <color rgb="FF0B6E72"/>
      </top>
      <bottom/>
      <diagonal/>
    </border>
    <border>
      <left style="thin">
        <color rgb="FF0B6E72"/>
      </left>
      <right style="thin">
        <color rgb="FF002060"/>
      </right>
      <top style="thin">
        <color rgb="FF002060"/>
      </top>
      <bottom style="thin">
        <color rgb="FF0B6E72"/>
      </bottom>
      <diagonal/>
    </border>
    <border>
      <left style="thin">
        <color rgb="FF0B6E72"/>
      </left>
      <right style="thin">
        <color rgb="FF002060"/>
      </right>
      <top style="thin">
        <color rgb="FF0B6E72"/>
      </top>
      <bottom style="thin">
        <color rgb="FF002060"/>
      </bottom>
      <diagonal/>
    </border>
    <border>
      <left style="thin">
        <color rgb="FF002060"/>
      </left>
      <right/>
      <top/>
      <bottom/>
      <diagonal/>
    </border>
    <border>
      <left style="thin">
        <color rgb="FFC97A1A"/>
      </left>
      <right/>
      <top style="thin">
        <color rgb="FFC97A1A"/>
      </top>
      <bottom style="thin">
        <color rgb="FF0B6E72"/>
      </bottom>
      <diagonal/>
    </border>
    <border>
      <left/>
      <right style="thin">
        <color rgb="FFC97A1A"/>
      </right>
      <top style="thin">
        <color rgb="FFC97A1A"/>
      </top>
      <bottom style="thin">
        <color rgb="FF0B6E72"/>
      </bottom>
      <diagonal/>
    </border>
    <border>
      <left style="medium">
        <color rgb="FF767171"/>
      </left>
      <right style="medium">
        <color rgb="FF767171"/>
      </right>
      <top style="medium">
        <color rgb="FF767171"/>
      </top>
      <bottom style="medium">
        <color rgb="FF767171"/>
      </bottom>
      <diagonal/>
    </border>
    <border>
      <left style="medium">
        <color rgb="FF767171"/>
      </left>
      <right style="medium">
        <color rgb="FF767171"/>
      </right>
      <top style="medium">
        <color rgb="FF767171"/>
      </top>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style="medium">
        <color rgb="FF767171"/>
      </left>
      <right style="medium">
        <color rgb="FF767171"/>
      </right>
      <top style="thin">
        <color indexed="64"/>
      </top>
      <bottom style="medium">
        <color rgb="FF767171"/>
      </bottom>
      <diagonal/>
    </border>
    <border>
      <left/>
      <right style="thin">
        <color indexed="64"/>
      </right>
      <top style="thin">
        <color indexed="64"/>
      </top>
      <bottom/>
      <diagonal/>
    </border>
    <border>
      <left style="thin">
        <color indexed="64"/>
      </left>
      <right style="medium">
        <color rgb="FF767171"/>
      </right>
      <top style="medium">
        <color rgb="FF767171"/>
      </top>
      <bottom style="medium">
        <color rgb="FF767171"/>
      </bottom>
      <diagonal/>
    </border>
    <border>
      <left style="medium">
        <color rgb="FF767171"/>
      </left>
      <right style="thin">
        <color indexed="64"/>
      </right>
      <top style="medium">
        <color rgb="FF767171"/>
      </top>
      <bottom style="medium">
        <color rgb="FF767171"/>
      </bottom>
      <diagonal/>
    </border>
    <border>
      <left style="thin">
        <color indexed="64"/>
      </left>
      <right style="medium">
        <color rgb="FF767171"/>
      </right>
      <top style="medium">
        <color rgb="FF767171"/>
      </top>
      <bottom/>
      <diagonal/>
    </border>
    <border>
      <left style="medium">
        <color rgb="FF767171"/>
      </left>
      <right style="thin">
        <color indexed="64"/>
      </right>
      <top style="medium">
        <color rgb="FF767171"/>
      </top>
      <bottom/>
      <diagonal/>
    </border>
    <border>
      <left style="thin">
        <color indexed="64"/>
      </left>
      <right style="medium">
        <color rgb="FF767171"/>
      </right>
      <top style="medium">
        <color rgb="FF767171"/>
      </top>
      <bottom style="thin">
        <color indexed="64"/>
      </bottom>
      <diagonal/>
    </border>
    <border>
      <left style="medium">
        <color rgb="FF767171"/>
      </left>
      <right style="medium">
        <color rgb="FF767171"/>
      </right>
      <top style="medium">
        <color rgb="FF767171"/>
      </top>
      <bottom style="thin">
        <color indexed="64"/>
      </bottom>
      <diagonal/>
    </border>
    <border>
      <left style="medium">
        <color rgb="FF767171"/>
      </left>
      <right style="thin">
        <color indexed="64"/>
      </right>
      <top style="medium">
        <color rgb="FF767171"/>
      </top>
      <bottom style="thin">
        <color indexed="64"/>
      </bottom>
      <diagonal/>
    </border>
  </borders>
  <cellStyleXfs count="4">
    <xf numFmtId="0" fontId="0" fillId="0" borderId="0"/>
    <xf numFmtId="44" fontId="17" fillId="0" borderId="0" applyFont="0" applyFill="0" applyBorder="0" applyAlignment="0" applyProtection="0"/>
    <xf numFmtId="9" fontId="17" fillId="0" borderId="0" applyFont="0" applyFill="0" applyBorder="0" applyAlignment="0" applyProtection="0"/>
    <xf numFmtId="0" fontId="23" fillId="0" borderId="0" applyNumberFormat="0" applyFill="0" applyBorder="0" applyAlignment="0" applyProtection="0"/>
  </cellStyleXfs>
  <cellXfs count="202">
    <xf numFmtId="0" fontId="0" fillId="0" borderId="0" xfId="0"/>
    <xf numFmtId="0" fontId="2" fillId="0" borderId="0" xfId="0" applyFont="1"/>
    <xf numFmtId="0" fontId="3" fillId="0" borderId="0" xfId="0" applyFont="1"/>
    <xf numFmtId="0" fontId="5" fillId="0" borderId="17" xfId="0" applyFont="1" applyBorder="1" applyAlignment="1">
      <alignment vertical="center" wrapText="1"/>
    </xf>
    <xf numFmtId="0" fontId="7" fillId="2" borderId="4" xfId="0" applyFont="1" applyFill="1" applyBorder="1" applyAlignment="1">
      <alignment horizontal="center" vertical="center" wrapText="1"/>
    </xf>
    <xf numFmtId="0" fontId="7" fillId="2" borderId="4" xfId="0" applyFont="1" applyFill="1" applyBorder="1" applyAlignment="1">
      <alignment horizontal="right" vertical="center" wrapText="1"/>
    </xf>
    <xf numFmtId="0" fontId="8" fillId="6" borderId="5"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164" fontId="5" fillId="4" borderId="1" xfId="0" applyNumberFormat="1" applyFont="1" applyFill="1" applyBorder="1" applyAlignment="1">
      <alignment horizontal="right" vertical="center" wrapText="1"/>
    </xf>
    <xf numFmtId="164" fontId="8" fillId="6" borderId="5" xfId="0" applyNumberFormat="1" applyFont="1" applyFill="1" applyBorder="1" applyAlignment="1">
      <alignment horizontal="right" vertical="center" wrapText="1"/>
    </xf>
    <xf numFmtId="0" fontId="8" fillId="7" borderId="5" xfId="0" applyFont="1" applyFill="1" applyBorder="1" applyAlignment="1">
      <alignment horizontal="center" vertical="center" wrapText="1"/>
    </xf>
    <xf numFmtId="0" fontId="8" fillId="7" borderId="6" xfId="0" applyFont="1" applyFill="1" applyBorder="1" applyAlignment="1">
      <alignment horizontal="center" vertical="center" wrapText="1"/>
    </xf>
    <xf numFmtId="164" fontId="8" fillId="7" borderId="5" xfId="0" applyNumberFormat="1" applyFont="1" applyFill="1" applyBorder="1" applyAlignment="1">
      <alignment horizontal="right" vertical="center" wrapText="1"/>
    </xf>
    <xf numFmtId="164" fontId="7" fillId="2" borderId="4" xfId="0" applyNumberFormat="1" applyFont="1" applyFill="1" applyBorder="1" applyAlignment="1">
      <alignment horizontal="right" vertical="center" wrapText="1"/>
    </xf>
    <xf numFmtId="0" fontId="3" fillId="3" borderId="0" xfId="0" applyFont="1" applyFill="1"/>
    <xf numFmtId="164" fontId="7" fillId="3" borderId="4" xfId="0" applyNumberFormat="1" applyFont="1" applyFill="1" applyBorder="1" applyAlignment="1">
      <alignment horizontal="right" vertical="center" wrapText="1"/>
    </xf>
    <xf numFmtId="164" fontId="7" fillId="3" borderId="22" xfId="0" applyNumberFormat="1" applyFont="1" applyFill="1" applyBorder="1" applyAlignment="1">
      <alignment horizontal="right" vertical="center" wrapText="1"/>
    </xf>
    <xf numFmtId="164" fontId="7" fillId="3" borderId="24" xfId="0" applyNumberFormat="1" applyFont="1" applyFill="1" applyBorder="1" applyAlignment="1">
      <alignment horizontal="right" vertical="center" wrapText="1"/>
    </xf>
    <xf numFmtId="14" fontId="5" fillId="4" borderId="1" xfId="0" applyNumberFormat="1" applyFont="1" applyFill="1" applyBorder="1" applyAlignment="1">
      <alignment horizontal="center" vertical="center" wrapText="1"/>
    </xf>
    <xf numFmtId="0" fontId="3" fillId="3" borderId="28" xfId="0" applyFont="1" applyFill="1" applyBorder="1"/>
    <xf numFmtId="0" fontId="7" fillId="2" borderId="24" xfId="0" applyFont="1" applyFill="1" applyBorder="1" applyAlignment="1">
      <alignment horizontal="center" vertical="center" wrapText="1"/>
    </xf>
    <xf numFmtId="0" fontId="7" fillId="2" borderId="24" xfId="0" applyFont="1" applyFill="1" applyBorder="1" applyAlignment="1">
      <alignment horizontal="right" vertical="center" wrapText="1"/>
    </xf>
    <xf numFmtId="0" fontId="5" fillId="0" borderId="44" xfId="0" applyFont="1" applyBorder="1" applyAlignment="1">
      <alignment vertical="center" wrapText="1"/>
    </xf>
    <xf numFmtId="0" fontId="5" fillId="0" borderId="45" xfId="0" applyFont="1" applyBorder="1" applyAlignment="1">
      <alignment vertical="center" wrapText="1"/>
    </xf>
    <xf numFmtId="0" fontId="8" fillId="0" borderId="0" xfId="0" applyFont="1" applyAlignment="1">
      <alignment horizontal="right" vertical="center" wrapText="1"/>
    </xf>
    <xf numFmtId="0" fontId="3" fillId="2" borderId="0" xfId="0" applyFont="1" applyFill="1"/>
    <xf numFmtId="10" fontId="5" fillId="4" borderId="1" xfId="2" applyNumberFormat="1" applyFont="1" applyFill="1" applyBorder="1" applyAlignment="1">
      <alignment vertical="center" wrapText="1"/>
    </xf>
    <xf numFmtId="44" fontId="3" fillId="0" borderId="55" xfId="0" applyNumberFormat="1" applyFont="1" applyBorder="1"/>
    <xf numFmtId="0" fontId="3" fillId="0" borderId="56" xfId="0" applyFont="1" applyBorder="1"/>
    <xf numFmtId="166" fontId="8" fillId="6" borderId="5" xfId="0" applyNumberFormat="1" applyFont="1" applyFill="1" applyBorder="1" applyAlignment="1">
      <alignment horizontal="right" vertical="center" wrapText="1"/>
    </xf>
    <xf numFmtId="166" fontId="8" fillId="7" borderId="5" xfId="0" applyNumberFormat="1" applyFont="1" applyFill="1" applyBorder="1" applyAlignment="1">
      <alignment horizontal="right" vertical="center" wrapText="1"/>
    </xf>
    <xf numFmtId="0" fontId="3" fillId="0" borderId="58" xfId="0" applyFont="1" applyBorder="1"/>
    <xf numFmtId="0" fontId="3" fillId="0" borderId="59" xfId="0" applyFont="1" applyBorder="1"/>
    <xf numFmtId="0" fontId="3" fillId="0" borderId="60" xfId="0" applyFont="1" applyBorder="1"/>
    <xf numFmtId="0" fontId="3" fillId="0" borderId="61" xfId="0" applyFont="1" applyBorder="1"/>
    <xf numFmtId="0" fontId="3" fillId="0" borderId="62" xfId="0" applyFont="1" applyBorder="1"/>
    <xf numFmtId="0" fontId="3" fillId="0" borderId="63" xfId="0" applyFont="1" applyBorder="1"/>
    <xf numFmtId="0" fontId="3" fillId="0" borderId="64" xfId="0" applyFont="1" applyBorder="1"/>
    <xf numFmtId="0" fontId="3" fillId="0" borderId="65" xfId="0" applyFont="1" applyBorder="1"/>
    <xf numFmtId="0" fontId="5" fillId="4" borderId="57" xfId="0" applyFont="1" applyFill="1" applyBorder="1" applyAlignment="1">
      <alignment vertical="center" wrapText="1"/>
    </xf>
    <xf numFmtId="0" fontId="19" fillId="0" borderId="59" xfId="0" applyFont="1" applyBorder="1"/>
    <xf numFmtId="10" fontId="18" fillId="0" borderId="64" xfId="0" applyNumberFormat="1" applyFont="1" applyBorder="1"/>
    <xf numFmtId="44" fontId="18" fillId="10" borderId="66" xfId="0" applyNumberFormat="1" applyFont="1" applyFill="1" applyBorder="1"/>
    <xf numFmtId="44" fontId="18" fillId="10" borderId="67" xfId="1" applyFont="1" applyFill="1" applyBorder="1"/>
    <xf numFmtId="44" fontId="5" fillId="4" borderId="1" xfId="1" applyFont="1" applyFill="1" applyBorder="1" applyAlignment="1">
      <alignment horizontal="right" vertical="center" wrapText="1"/>
    </xf>
    <xf numFmtId="166" fontId="7" fillId="3" borderId="75" xfId="0" applyNumberFormat="1" applyFont="1" applyFill="1" applyBorder="1" applyAlignment="1">
      <alignment horizontal="right" vertical="center" wrapText="1"/>
    </xf>
    <xf numFmtId="166" fontId="7" fillId="2" borderId="71" xfId="0" applyNumberFormat="1" applyFont="1" applyFill="1" applyBorder="1" applyAlignment="1">
      <alignment horizontal="right" vertical="center" wrapText="1"/>
    </xf>
    <xf numFmtId="166" fontId="8" fillId="7" borderId="21" xfId="0" applyNumberFormat="1" applyFont="1" applyFill="1" applyBorder="1" applyAlignment="1">
      <alignment horizontal="right" vertical="center" wrapText="1"/>
    </xf>
    <xf numFmtId="166" fontId="7" fillId="2" borderId="76" xfId="0" applyNumberFormat="1" applyFont="1" applyFill="1" applyBorder="1" applyAlignment="1">
      <alignment horizontal="right" vertical="center" wrapText="1"/>
    </xf>
    <xf numFmtId="0" fontId="8" fillId="7" borderId="21" xfId="0" applyFont="1" applyFill="1" applyBorder="1" applyAlignment="1">
      <alignment horizontal="center" vertical="center" wrapText="1"/>
    </xf>
    <xf numFmtId="0" fontId="3" fillId="2" borderId="81" xfId="0" applyFont="1" applyFill="1" applyBorder="1"/>
    <xf numFmtId="168" fontId="7" fillId="3" borderId="82" xfId="0" applyNumberFormat="1" applyFont="1" applyFill="1" applyBorder="1" applyAlignment="1">
      <alignment horizontal="right" vertical="center" wrapText="1"/>
    </xf>
    <xf numFmtId="167" fontId="7" fillId="3" borderId="83" xfId="0" applyNumberFormat="1" applyFont="1" applyFill="1" applyBorder="1" applyAlignment="1">
      <alignment horizontal="right" vertical="center" wrapText="1"/>
    </xf>
    <xf numFmtId="166" fontId="3" fillId="3" borderId="69" xfId="0" applyNumberFormat="1" applyFont="1" applyFill="1" applyBorder="1"/>
    <xf numFmtId="166" fontId="3" fillId="3" borderId="84" xfId="0" applyNumberFormat="1" applyFont="1" applyFill="1" applyBorder="1"/>
    <xf numFmtId="0" fontId="18" fillId="0" borderId="0" xfId="0" applyFont="1"/>
    <xf numFmtId="0" fontId="7" fillId="2" borderId="12" xfId="0" applyFont="1" applyFill="1" applyBorder="1" applyAlignment="1">
      <alignment vertical="center" wrapText="1"/>
    </xf>
    <xf numFmtId="0" fontId="7" fillId="2" borderId="17" xfId="0" applyFont="1" applyFill="1" applyBorder="1" applyAlignment="1">
      <alignment vertical="center" wrapText="1"/>
    </xf>
    <xf numFmtId="0" fontId="0" fillId="0" borderId="0" xfId="0" applyAlignment="1">
      <alignment wrapText="1"/>
    </xf>
    <xf numFmtId="0" fontId="25" fillId="0" borderId="0" xfId="0" applyFont="1" applyAlignment="1">
      <alignment wrapText="1"/>
    </xf>
    <xf numFmtId="0" fontId="24" fillId="12" borderId="55" xfId="0" applyFont="1" applyFill="1" applyBorder="1" applyAlignment="1">
      <alignment vertical="center" wrapText="1"/>
    </xf>
    <xf numFmtId="0" fontId="26" fillId="11" borderId="55" xfId="0" applyFont="1" applyFill="1" applyBorder="1" applyAlignment="1">
      <alignment vertical="center" wrapText="1"/>
    </xf>
    <xf numFmtId="0" fontId="26" fillId="12" borderId="55" xfId="0" applyFont="1" applyFill="1" applyBorder="1" applyAlignment="1">
      <alignment vertical="center" wrapText="1"/>
    </xf>
    <xf numFmtId="6" fontId="26" fillId="12" borderId="55" xfId="0" applyNumberFormat="1" applyFont="1" applyFill="1" applyBorder="1" applyAlignment="1">
      <alignment vertical="center" wrapText="1"/>
    </xf>
    <xf numFmtId="6" fontId="26" fillId="11" borderId="55" xfId="0" applyNumberFormat="1" applyFont="1" applyFill="1" applyBorder="1" applyAlignment="1">
      <alignment vertical="center" wrapText="1"/>
    </xf>
    <xf numFmtId="0" fontId="24" fillId="12" borderId="89" xfId="0" applyFont="1" applyFill="1" applyBorder="1" applyAlignment="1">
      <alignment horizontal="left" vertical="center" wrapText="1"/>
    </xf>
    <xf numFmtId="0" fontId="26" fillId="11" borderId="87" xfId="0" applyFont="1" applyFill="1" applyBorder="1" applyAlignment="1">
      <alignment horizontal="center" vertical="center" wrapText="1"/>
    </xf>
    <xf numFmtId="0" fontId="26" fillId="12" borderId="87" xfId="0" applyFont="1" applyFill="1" applyBorder="1" applyAlignment="1">
      <alignment horizontal="center" vertical="center" wrapText="1"/>
    </xf>
    <xf numFmtId="0" fontId="28" fillId="13" borderId="91" xfId="0" applyFont="1" applyFill="1" applyBorder="1" applyAlignment="1">
      <alignment horizontal="center" vertical="center" wrapText="1"/>
    </xf>
    <xf numFmtId="0" fontId="27" fillId="13" borderId="92" xfId="0" applyFont="1" applyFill="1" applyBorder="1" applyAlignment="1">
      <alignment vertical="center" wrapText="1"/>
    </xf>
    <xf numFmtId="0" fontId="28" fillId="13" borderId="93" xfId="0" applyFont="1" applyFill="1" applyBorder="1" applyAlignment="1">
      <alignment horizontal="center" vertical="center" wrapText="1"/>
    </xf>
    <xf numFmtId="0" fontId="26" fillId="11" borderId="95" xfId="0" applyFont="1" applyFill="1" applyBorder="1" applyAlignment="1">
      <alignment horizontal="center" vertical="center" wrapText="1"/>
    </xf>
    <xf numFmtId="0" fontId="26" fillId="12" borderId="95" xfId="0" applyFont="1" applyFill="1" applyBorder="1" applyAlignment="1">
      <alignment horizontal="center" vertical="center" wrapText="1"/>
    </xf>
    <xf numFmtId="0" fontId="26" fillId="11" borderId="99" xfId="0" applyFont="1" applyFill="1" applyBorder="1" applyAlignment="1">
      <alignment horizontal="center" vertical="center" wrapText="1"/>
    </xf>
    <xf numFmtId="0" fontId="26" fillId="11" borderId="100" xfId="0" applyFont="1" applyFill="1" applyBorder="1" applyAlignment="1">
      <alignment horizontal="center" vertical="center" wrapText="1"/>
    </xf>
    <xf numFmtId="0" fontId="26" fillId="11" borderId="55" xfId="0" applyFont="1" applyFill="1" applyBorder="1" applyAlignment="1">
      <alignment horizontal="left" vertical="center" wrapText="1"/>
    </xf>
    <xf numFmtId="0" fontId="26" fillId="12" borderId="55" xfId="0" applyFont="1" applyFill="1" applyBorder="1" applyAlignment="1">
      <alignment horizontal="left" vertical="center" wrapText="1"/>
    </xf>
    <xf numFmtId="0" fontId="26" fillId="0" borderId="0" xfId="0" applyFont="1" applyAlignment="1">
      <alignment horizontal="left"/>
    </xf>
    <xf numFmtId="0" fontId="28" fillId="13" borderId="90" xfId="0" applyFont="1" applyFill="1" applyBorder="1" applyAlignment="1">
      <alignment horizontal="left" vertical="center" wrapText="1"/>
    </xf>
    <xf numFmtId="0" fontId="26" fillId="11" borderId="94" xfId="0" applyFont="1" applyFill="1" applyBorder="1" applyAlignment="1">
      <alignment horizontal="left" vertical="center" wrapText="1"/>
    </xf>
    <xf numFmtId="0" fontId="26" fillId="12" borderId="94" xfId="0" applyFont="1" applyFill="1" applyBorder="1" applyAlignment="1">
      <alignment horizontal="left" vertical="center" wrapText="1"/>
    </xf>
    <xf numFmtId="0" fontId="26" fillId="11" borderId="98" xfId="0" applyFont="1" applyFill="1" applyBorder="1" applyAlignment="1">
      <alignment horizontal="left" vertical="center" wrapText="1"/>
    </xf>
    <xf numFmtId="0" fontId="0" fillId="0" borderId="0" xfId="0" applyAlignment="1">
      <alignment horizontal="left" wrapText="1"/>
    </xf>
    <xf numFmtId="0" fontId="26" fillId="11" borderId="96" xfId="0" applyFont="1" applyFill="1" applyBorder="1" applyAlignment="1">
      <alignment vertical="center" wrapText="1"/>
    </xf>
    <xf numFmtId="0" fontId="26" fillId="11" borderId="88" xfId="0" applyFont="1" applyFill="1" applyBorder="1" applyAlignment="1">
      <alignment vertical="center" wrapText="1"/>
    </xf>
    <xf numFmtId="0" fontId="26" fillId="11" borderId="97" xfId="0" applyFont="1" applyFill="1" applyBorder="1" applyAlignment="1">
      <alignment vertical="center" wrapText="1"/>
    </xf>
    <xf numFmtId="44" fontId="0" fillId="0" borderId="55" xfId="1" applyFont="1" applyBorder="1" applyAlignment="1">
      <alignment wrapText="1"/>
    </xf>
    <xf numFmtId="0" fontId="8" fillId="6" borderId="55" xfId="0" applyFont="1" applyFill="1" applyBorder="1" applyAlignment="1">
      <alignment vertical="center"/>
    </xf>
    <xf numFmtId="0" fontId="8" fillId="7" borderId="55" xfId="0" applyFont="1" applyFill="1" applyBorder="1" applyAlignment="1">
      <alignment vertical="center"/>
    </xf>
    <xf numFmtId="0" fontId="23" fillId="12" borderId="55" xfId="3" applyFill="1" applyBorder="1" applyAlignment="1">
      <alignment horizontal="left" vertical="center" wrapText="1"/>
    </xf>
    <xf numFmtId="0" fontId="0" fillId="0" borderId="0" xfId="0" applyAlignment="1">
      <alignment horizontal="left" indent="1"/>
    </xf>
    <xf numFmtId="0" fontId="8" fillId="6" borderId="18" xfId="0" applyFont="1" applyFill="1" applyBorder="1" applyAlignment="1">
      <alignment horizontal="center" vertical="center" textRotation="90" wrapText="1"/>
    </xf>
    <xf numFmtId="0" fontId="8" fillId="6" borderId="19" xfId="0" applyFont="1" applyFill="1" applyBorder="1" applyAlignment="1">
      <alignment horizontal="center" vertical="center" textRotation="90" wrapText="1"/>
    </xf>
    <xf numFmtId="0" fontId="8" fillId="6" borderId="20" xfId="0" applyFont="1" applyFill="1" applyBorder="1" applyAlignment="1">
      <alignment horizontal="center" vertical="center" textRotation="90" wrapText="1"/>
    </xf>
    <xf numFmtId="0" fontId="8" fillId="9" borderId="21" xfId="0" applyFont="1" applyFill="1" applyBorder="1" applyAlignment="1">
      <alignment horizontal="center" vertical="center" textRotation="90" wrapText="1"/>
    </xf>
    <xf numFmtId="0" fontId="8" fillId="9" borderId="20" xfId="0" applyFont="1" applyFill="1" applyBorder="1" applyAlignment="1">
      <alignment horizontal="center" vertical="center" textRotation="90" wrapText="1"/>
    </xf>
    <xf numFmtId="0" fontId="16" fillId="3" borderId="0" xfId="0" applyFont="1" applyFill="1" applyAlignment="1">
      <alignment horizontal="left" vertical="center" wrapText="1"/>
    </xf>
    <xf numFmtId="0" fontId="16" fillId="3" borderId="27" xfId="0" applyFont="1" applyFill="1" applyBorder="1" applyAlignment="1">
      <alignment horizontal="left" vertical="center" wrapText="1"/>
    </xf>
    <xf numFmtId="0" fontId="16" fillId="3" borderId="26" xfId="0" applyFont="1" applyFill="1" applyBorder="1" applyAlignment="1">
      <alignment horizontal="left" vertical="center" wrapText="1"/>
    </xf>
    <xf numFmtId="0" fontId="7" fillId="2" borderId="4" xfId="0" applyFont="1" applyFill="1" applyBorder="1" applyAlignment="1">
      <alignment horizontal="left" vertical="center" wrapText="1"/>
    </xf>
    <xf numFmtId="0" fontId="8" fillId="6" borderId="6" xfId="0" applyFont="1" applyFill="1" applyBorder="1" applyAlignment="1">
      <alignment horizontal="left" vertical="center" wrapText="1"/>
    </xf>
    <xf numFmtId="0" fontId="8" fillId="7" borderId="6" xfId="0" applyFont="1" applyFill="1" applyBorder="1" applyAlignment="1">
      <alignment horizontal="left" vertical="center" wrapText="1"/>
    </xf>
    <xf numFmtId="14" fontId="5" fillId="4" borderId="15" xfId="0" applyNumberFormat="1" applyFont="1" applyFill="1" applyBorder="1" applyAlignment="1">
      <alignment horizontal="center" vertical="center" wrapText="1"/>
    </xf>
    <xf numFmtId="14" fontId="5" fillId="4" borderId="16" xfId="0" applyNumberFormat="1" applyFont="1" applyFill="1" applyBorder="1" applyAlignment="1">
      <alignment horizontal="center" vertical="center" wrapText="1"/>
    </xf>
    <xf numFmtId="14" fontId="5" fillId="4" borderId="3" xfId="0" applyNumberFormat="1" applyFont="1" applyFill="1" applyBorder="1" applyAlignment="1">
      <alignment horizontal="center" vertical="center" wrapText="1"/>
    </xf>
    <xf numFmtId="14" fontId="5" fillId="4" borderId="10" xfId="0" applyNumberFormat="1"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8" fillId="6" borderId="36" xfId="0" applyFont="1" applyFill="1" applyBorder="1" applyAlignment="1">
      <alignment horizontal="left" vertical="center" wrapText="1"/>
    </xf>
    <xf numFmtId="0" fontId="8" fillId="6" borderId="37" xfId="0" applyFont="1" applyFill="1" applyBorder="1" applyAlignment="1">
      <alignment horizontal="left" vertical="center" wrapText="1"/>
    </xf>
    <xf numFmtId="0" fontId="8" fillId="6" borderId="38" xfId="0" applyFont="1" applyFill="1" applyBorder="1" applyAlignment="1">
      <alignment horizontal="left" vertical="center" wrapText="1"/>
    </xf>
    <xf numFmtId="0" fontId="8" fillId="7" borderId="39" xfId="0" applyFont="1" applyFill="1" applyBorder="1" applyAlignment="1">
      <alignment horizontal="left" vertical="center" wrapText="1"/>
    </xf>
    <xf numFmtId="0" fontId="8" fillId="7" borderId="40" xfId="0" applyFont="1" applyFill="1" applyBorder="1" applyAlignment="1">
      <alignment horizontal="left" vertical="center" wrapText="1"/>
    </xf>
    <xf numFmtId="0" fontId="8" fillId="6" borderId="39" xfId="0" applyFont="1" applyFill="1" applyBorder="1" applyAlignment="1">
      <alignment horizontal="left" vertical="center" wrapText="1"/>
    </xf>
    <xf numFmtId="0" fontId="8" fillId="6" borderId="40" xfId="0" applyFont="1" applyFill="1" applyBorder="1" applyAlignment="1">
      <alignment horizontal="left" vertical="center" wrapText="1"/>
    </xf>
    <xf numFmtId="0" fontId="8" fillId="7" borderId="42" xfId="0" applyFont="1" applyFill="1" applyBorder="1" applyAlignment="1">
      <alignment horizontal="left" vertical="center" wrapText="1"/>
    </xf>
    <xf numFmtId="0" fontId="8" fillId="6" borderId="42" xfId="0" applyFont="1" applyFill="1" applyBorder="1" applyAlignment="1">
      <alignment horizontal="left" vertical="center" wrapText="1"/>
    </xf>
    <xf numFmtId="0" fontId="1" fillId="6" borderId="2" xfId="0" applyFont="1" applyFill="1" applyBorder="1" applyAlignment="1">
      <alignment horizontal="left" vertical="center" wrapText="1"/>
    </xf>
    <xf numFmtId="165" fontId="5" fillId="4" borderId="15" xfId="0" applyNumberFormat="1" applyFont="1" applyFill="1" applyBorder="1" applyAlignment="1">
      <alignment horizontal="center" vertical="center" wrapText="1"/>
    </xf>
    <xf numFmtId="165" fontId="5" fillId="4" borderId="16" xfId="0" applyNumberFormat="1" applyFont="1" applyFill="1" applyBorder="1" applyAlignment="1">
      <alignment horizontal="center" vertical="center" wrapText="1"/>
    </xf>
    <xf numFmtId="165" fontId="5" fillId="4" borderId="3" xfId="0" applyNumberFormat="1" applyFont="1" applyFill="1" applyBorder="1" applyAlignment="1">
      <alignment horizontal="center" vertical="center" wrapText="1"/>
    </xf>
    <xf numFmtId="165" fontId="5" fillId="4" borderId="10" xfId="0" applyNumberFormat="1" applyFont="1" applyFill="1" applyBorder="1" applyAlignment="1">
      <alignment horizontal="center" vertical="center" wrapText="1"/>
    </xf>
    <xf numFmtId="0" fontId="7" fillId="2" borderId="12"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11" fillId="0" borderId="0" xfId="0" applyFont="1" applyAlignment="1">
      <alignment horizontal="center" vertical="center" wrapText="1"/>
    </xf>
    <xf numFmtId="0" fontId="9" fillId="0" borderId="0" xfId="0" applyFont="1" applyAlignment="1">
      <alignment horizontal="right" vertical="center" wrapText="1"/>
    </xf>
    <xf numFmtId="0" fontId="8" fillId="0" borderId="0" xfId="0" applyFont="1" applyAlignment="1">
      <alignment horizontal="left" vertical="center" wrapText="1"/>
    </xf>
    <xf numFmtId="0" fontId="12" fillId="8" borderId="29" xfId="0" applyFont="1" applyFill="1" applyBorder="1" applyAlignment="1">
      <alignment horizontal="left" vertical="center" wrapText="1"/>
    </xf>
    <xf numFmtId="0" fontId="12" fillId="8" borderId="0" xfId="0" applyFont="1" applyFill="1" applyAlignment="1">
      <alignment horizontal="left" vertical="center" wrapText="1"/>
    </xf>
    <xf numFmtId="0" fontId="5" fillId="4" borderId="31"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32"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5" fillId="4" borderId="35" xfId="0" applyFont="1" applyFill="1" applyBorder="1" applyAlignment="1">
      <alignment horizontal="center" vertical="center" wrapText="1"/>
    </xf>
    <xf numFmtId="0" fontId="3" fillId="6" borderId="8" xfId="0" applyFont="1" applyFill="1" applyBorder="1"/>
    <xf numFmtId="0" fontId="10" fillId="0" borderId="0" xfId="0" applyFont="1" applyAlignment="1">
      <alignment horizontal="left" vertical="center" wrapText="1"/>
    </xf>
    <xf numFmtId="0" fontId="7" fillId="2" borderId="17" xfId="0" applyFont="1" applyFill="1" applyBorder="1" applyAlignment="1">
      <alignment horizontal="center" vertical="center" wrapText="1"/>
    </xf>
    <xf numFmtId="0" fontId="8" fillId="6" borderId="41" xfId="0" applyFont="1" applyFill="1" applyBorder="1" applyAlignment="1">
      <alignment horizontal="left" vertical="center" wrapText="1"/>
    </xf>
    <xf numFmtId="0" fontId="3" fillId="2" borderId="0" xfId="0" applyFont="1" applyFill="1"/>
    <xf numFmtId="0" fontId="7" fillId="2" borderId="7" xfId="0" applyFont="1" applyFill="1" applyBorder="1" applyAlignment="1">
      <alignment horizontal="right" vertical="center" wrapText="1"/>
    </xf>
    <xf numFmtId="0" fontId="5" fillId="0" borderId="17" xfId="0" applyFont="1" applyBorder="1" applyAlignment="1">
      <alignment horizontal="left" vertical="center" wrapText="1"/>
    </xf>
    <xf numFmtId="0" fontId="5" fillId="4" borderId="3" xfId="0" applyFont="1" applyFill="1" applyBorder="1" applyAlignment="1">
      <alignment horizontal="left" vertical="center" wrapText="1"/>
    </xf>
    <xf numFmtId="0" fontId="5" fillId="4" borderId="9"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3" fillId="3" borderId="0" xfId="0" applyFont="1" applyFill="1"/>
    <xf numFmtId="0" fontId="7" fillId="3" borderId="23" xfId="0" applyFont="1" applyFill="1" applyBorder="1" applyAlignment="1">
      <alignment horizontal="right" vertical="center" wrapText="1"/>
    </xf>
    <xf numFmtId="0" fontId="7" fillId="3" borderId="25" xfId="0" applyFont="1" applyFill="1" applyBorder="1" applyAlignment="1">
      <alignment horizontal="right" vertical="center" wrapText="1"/>
    </xf>
    <xf numFmtId="0" fontId="8" fillId="0" borderId="0" xfId="0" applyFont="1" applyAlignment="1">
      <alignment horizontal="right" vertical="center" wrapText="1"/>
    </xf>
    <xf numFmtId="0" fontId="5" fillId="4" borderId="1" xfId="0" applyFont="1" applyFill="1" applyBorder="1" applyAlignment="1">
      <alignment horizontal="left" vertical="center" wrapText="1"/>
    </xf>
    <xf numFmtId="0" fontId="8" fillId="0" borderId="11" xfId="0" applyFont="1" applyBorder="1" applyAlignment="1">
      <alignment horizontal="right" vertical="center" wrapText="1"/>
    </xf>
    <xf numFmtId="0" fontId="8" fillId="0" borderId="14" xfId="0" applyFont="1" applyBorder="1" applyAlignment="1">
      <alignment horizontal="right" vertical="center" wrapText="1"/>
    </xf>
    <xf numFmtId="0" fontId="3" fillId="5" borderId="0" xfId="0" applyFont="1" applyFill="1"/>
    <xf numFmtId="0" fontId="13" fillId="2" borderId="0" xfId="0" applyFont="1" applyFill="1" applyAlignment="1">
      <alignment horizontal="center" vertical="center" wrapText="1"/>
    </xf>
    <xf numFmtId="0" fontId="14" fillId="3" borderId="0" xfId="0" applyFont="1" applyFill="1" applyAlignment="1">
      <alignment horizontal="center" vertical="center" wrapText="1"/>
    </xf>
    <xf numFmtId="0" fontId="4" fillId="0" borderId="0" xfId="0" applyFont="1" applyAlignment="1">
      <alignment horizontal="righ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165" fontId="5" fillId="4" borderId="3" xfId="0" applyNumberFormat="1" applyFont="1" applyFill="1" applyBorder="1" applyAlignment="1">
      <alignment horizontal="left" vertical="center" wrapText="1"/>
    </xf>
    <xf numFmtId="165" fontId="5" fillId="4" borderId="9" xfId="0" applyNumberFormat="1" applyFont="1" applyFill="1" applyBorder="1" applyAlignment="1">
      <alignment horizontal="left" vertical="center" wrapText="1"/>
    </xf>
    <xf numFmtId="165" fontId="5" fillId="4" borderId="10" xfId="0" applyNumberFormat="1" applyFont="1" applyFill="1" applyBorder="1" applyAlignment="1">
      <alignment horizontal="left" vertical="center" wrapText="1"/>
    </xf>
    <xf numFmtId="0" fontId="5" fillId="4" borderId="3"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8" fillId="7" borderId="78" xfId="0" applyFont="1" applyFill="1" applyBorder="1" applyAlignment="1">
      <alignment horizontal="left" vertical="center" wrapText="1"/>
    </xf>
    <xf numFmtId="0" fontId="8" fillId="7" borderId="54" xfId="0" applyFont="1" applyFill="1" applyBorder="1" applyAlignment="1">
      <alignment horizontal="left" vertical="center" wrapText="1"/>
    </xf>
    <xf numFmtId="0" fontId="8" fillId="7" borderId="79" xfId="0" applyFont="1" applyFill="1" applyBorder="1" applyAlignment="1">
      <alignment horizontal="left" vertical="center" wrapText="1"/>
    </xf>
    <xf numFmtId="0" fontId="8" fillId="7" borderId="80" xfId="0" applyFont="1" applyFill="1" applyBorder="1" applyAlignment="1">
      <alignment horizontal="left" vertical="center" wrapText="1"/>
    </xf>
    <xf numFmtId="0" fontId="15" fillId="6" borderId="43" xfId="0" applyFont="1" applyFill="1" applyBorder="1" applyAlignment="1">
      <alignment horizontal="right" vertical="center" wrapText="1"/>
    </xf>
    <xf numFmtId="0" fontId="15" fillId="6" borderId="43" xfId="0" applyFont="1" applyFill="1" applyBorder="1" applyAlignment="1">
      <alignment horizontal="center" vertical="center" wrapText="1"/>
    </xf>
    <xf numFmtId="0" fontId="5" fillId="4" borderId="46" xfId="0" applyFont="1" applyFill="1" applyBorder="1" applyAlignment="1">
      <alignment horizontal="left" vertical="center" wrapText="1"/>
    </xf>
    <xf numFmtId="0" fontId="5" fillId="4" borderId="47" xfId="0" applyFont="1" applyFill="1" applyBorder="1" applyAlignment="1">
      <alignment horizontal="left" vertical="center" wrapText="1"/>
    </xf>
    <xf numFmtId="0" fontId="5" fillId="4" borderId="68" xfId="0" applyFont="1" applyFill="1" applyBorder="1" applyAlignment="1">
      <alignment horizontal="left" vertical="center" wrapText="1"/>
    </xf>
    <xf numFmtId="165" fontId="20" fillId="4" borderId="3" xfId="0" applyNumberFormat="1" applyFont="1" applyFill="1" applyBorder="1" applyAlignment="1">
      <alignment horizontal="center" vertical="center" wrapText="1"/>
    </xf>
    <xf numFmtId="165" fontId="20" fillId="4" borderId="10" xfId="0" applyNumberFormat="1" applyFont="1" applyFill="1" applyBorder="1" applyAlignment="1">
      <alignment horizontal="center" vertical="center" wrapText="1"/>
    </xf>
    <xf numFmtId="165" fontId="5" fillId="4" borderId="15" xfId="0" applyNumberFormat="1" applyFont="1" applyFill="1" applyBorder="1" applyAlignment="1">
      <alignment horizontal="left" vertical="center" wrapText="1"/>
    </xf>
    <xf numFmtId="165" fontId="5" fillId="4" borderId="48" xfId="0" applyNumberFormat="1" applyFont="1" applyFill="1" applyBorder="1" applyAlignment="1">
      <alignment horizontal="left" vertical="center" wrapText="1"/>
    </xf>
    <xf numFmtId="165" fontId="5" fillId="4" borderId="16" xfId="0" applyNumberFormat="1" applyFont="1" applyFill="1" applyBorder="1" applyAlignment="1">
      <alignment horizontal="left" vertical="center" wrapText="1"/>
    </xf>
    <xf numFmtId="0" fontId="7" fillId="3" borderId="73" xfId="0" applyFont="1" applyFill="1" applyBorder="1" applyAlignment="1">
      <alignment horizontal="right" vertical="center" wrapText="1"/>
    </xf>
    <xf numFmtId="0" fontId="7" fillId="3" borderId="74" xfId="0" applyFont="1" applyFill="1" applyBorder="1" applyAlignment="1">
      <alignment horizontal="right" vertical="center" wrapText="1"/>
    </xf>
    <xf numFmtId="0" fontId="16" fillId="3" borderId="69" xfId="0" applyFont="1" applyFill="1" applyBorder="1" applyAlignment="1">
      <alignment horizontal="left" vertical="center" wrapText="1"/>
    </xf>
    <xf numFmtId="0" fontId="16" fillId="3" borderId="70" xfId="0" applyFont="1" applyFill="1" applyBorder="1" applyAlignment="1">
      <alignment horizontal="left" vertical="center" wrapText="1"/>
    </xf>
    <xf numFmtId="0" fontId="16" fillId="3" borderId="72" xfId="0" applyFont="1" applyFill="1" applyBorder="1" applyAlignment="1">
      <alignment horizontal="left" vertical="center" wrapText="1"/>
    </xf>
    <xf numFmtId="0" fontId="3" fillId="3" borderId="0" xfId="0" applyFont="1" applyFill="1" applyAlignment="1">
      <alignment horizontal="center"/>
    </xf>
    <xf numFmtId="0" fontId="7" fillId="2" borderId="0" xfId="0" applyFont="1" applyFill="1" applyAlignment="1">
      <alignment horizontal="center" vertical="center" wrapText="1"/>
    </xf>
    <xf numFmtId="0" fontId="7" fillId="2" borderId="49" xfId="0" applyFont="1" applyFill="1" applyBorder="1" applyAlignment="1">
      <alignment horizontal="center" vertical="center" wrapText="1"/>
    </xf>
    <xf numFmtId="0" fontId="7" fillId="2" borderId="81" xfId="0" applyFont="1" applyFill="1" applyBorder="1" applyAlignment="1">
      <alignment horizontal="center" vertical="center" wrapText="1"/>
    </xf>
    <xf numFmtId="0" fontId="7" fillId="2" borderId="77" xfId="0" applyFont="1" applyFill="1" applyBorder="1" applyAlignment="1">
      <alignment horizontal="center" vertical="center" wrapText="1"/>
    </xf>
    <xf numFmtId="0" fontId="15" fillId="6" borderId="2" xfId="0" applyFont="1" applyFill="1" applyBorder="1" applyAlignment="1">
      <alignment horizontal="right" vertical="center" wrapText="1"/>
    </xf>
    <xf numFmtId="0" fontId="5" fillId="4" borderId="33" xfId="0" applyFont="1" applyFill="1" applyBorder="1" applyAlignment="1">
      <alignment horizontal="left" vertical="center" wrapText="1"/>
    </xf>
    <xf numFmtId="0" fontId="5" fillId="4" borderId="34" xfId="0" applyFont="1" applyFill="1" applyBorder="1" applyAlignment="1">
      <alignment horizontal="left" vertical="center" wrapText="1"/>
    </xf>
    <xf numFmtId="0" fontId="5" fillId="4" borderId="35"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7" fillId="2" borderId="50" xfId="0" applyFont="1" applyFill="1" applyBorder="1" applyAlignment="1">
      <alignment horizontal="left" vertical="center" wrapText="1"/>
    </xf>
    <xf numFmtId="0" fontId="7" fillId="2" borderId="51" xfId="0" applyFont="1" applyFill="1" applyBorder="1" applyAlignment="1">
      <alignment horizontal="left" vertical="center" wrapText="1"/>
    </xf>
    <xf numFmtId="0" fontId="7" fillId="2" borderId="52" xfId="0" applyFont="1" applyFill="1" applyBorder="1" applyAlignment="1">
      <alignment horizontal="center" vertical="center" wrapText="1"/>
    </xf>
    <xf numFmtId="0" fontId="7" fillId="2" borderId="53" xfId="0" applyFont="1" applyFill="1" applyBorder="1" applyAlignment="1">
      <alignment horizontal="center" vertical="center" wrapText="1"/>
    </xf>
    <xf numFmtId="0" fontId="5" fillId="4" borderId="85" xfId="0" applyFont="1" applyFill="1" applyBorder="1" applyAlignment="1">
      <alignment horizontal="center" vertical="center" wrapText="1"/>
    </xf>
    <xf numFmtId="0" fontId="5" fillId="4" borderId="86" xfId="0" applyFont="1" applyFill="1" applyBorder="1" applyAlignment="1">
      <alignment horizontal="center" vertical="center" wrapText="1"/>
    </xf>
    <xf numFmtId="0" fontId="8" fillId="9" borderId="19" xfId="0" applyFont="1" applyFill="1" applyBorder="1" applyAlignment="1">
      <alignment horizontal="center" vertical="center" textRotation="90" wrapText="1"/>
    </xf>
    <xf numFmtId="0" fontId="29" fillId="0" borderId="0" xfId="0" applyFont="1" applyAlignment="1">
      <alignment horizontal="center" wrapText="1"/>
    </xf>
    <xf numFmtId="0" fontId="18" fillId="0" borderId="56" xfId="0" applyFont="1" applyBorder="1" applyAlignment="1">
      <alignment horizontal="center"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E72"/>
      <rgbColor rgb="FFC0C0C0"/>
      <rgbColor rgb="FF808080"/>
      <rgbColor rgb="FF9999FF"/>
      <rgbColor rgb="FF993366"/>
      <rgbColor rgb="FFFFF8EC"/>
      <rgbColor rgb="FFDFF0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5E7EB"/>
      <rgbColor rgb="FFD6EFE1"/>
      <rgbColor rgb="FFFFFF99"/>
      <rgbColor rgb="FF99CCFF"/>
      <rgbColor rgb="FFFF99CC"/>
      <rgbColor rgb="FFCC99FF"/>
      <rgbColor rgb="FFFFCC99"/>
      <rgbColor rgb="FF3366FF"/>
      <rgbColor rgb="FF3A9DBF"/>
      <rgbColor rgb="FF99CC00"/>
      <rgbColor rgb="FFFFCC00"/>
      <rgbColor rgb="FFFF9900"/>
      <rgbColor rgb="FFC97A1A"/>
      <rgbColor rgb="FF666699"/>
      <rgbColor rgb="FF9CA3AF"/>
      <rgbColor rgb="FF0F3460"/>
      <rgbColor rgb="FF2D7D4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mruColors>
      <color rgb="FF3A9DBF"/>
      <color rgb="FFD6E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hyperlink" Target="https://focusonenergy.com/residential/di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1"/>
  <sheetViews>
    <sheetView showGridLines="0" zoomScaleNormal="100" workbookViewId="0">
      <pane ySplit="1" topLeftCell="A22" activePane="bottomLeft" state="frozen"/>
      <selection pane="bottomLeft" activeCell="L63" sqref="A1:L63"/>
    </sheetView>
  </sheetViews>
  <sheetFormatPr defaultColWidth="8.59765625" defaultRowHeight="23.85"/>
  <cols>
    <col min="1" max="1" width="5.8984375" style="1" customWidth="1"/>
    <col min="2" max="2" width="26" style="1" customWidth="1"/>
    <col min="3" max="3" width="12" style="1" customWidth="1"/>
    <col min="4" max="4" width="18" style="1" customWidth="1"/>
    <col min="5" max="5" width="12" style="1" customWidth="1"/>
    <col min="6" max="6" width="18.09765625" style="1" customWidth="1"/>
    <col min="7" max="7" width="6" style="1" customWidth="1"/>
    <col min="8" max="8" width="5.59765625" style="1" customWidth="1"/>
    <col min="9" max="9" width="6" style="1" customWidth="1"/>
    <col min="10" max="10" width="11.8984375" style="1" customWidth="1"/>
    <col min="11" max="11" width="11.69921875" style="1" bestFit="1" customWidth="1"/>
    <col min="12" max="12" width="12.09765625" style="1" bestFit="1" customWidth="1"/>
    <col min="13" max="16384" width="8.59765625" style="1"/>
  </cols>
  <sheetData>
    <row r="1" spans="1:12" ht="32.4" customHeight="1">
      <c r="A1" s="154" t="s">
        <v>0</v>
      </c>
      <c r="B1" s="154"/>
      <c r="C1" s="154"/>
      <c r="D1" s="154"/>
      <c r="E1" s="154"/>
      <c r="F1" s="154"/>
      <c r="G1" s="154"/>
      <c r="H1" s="154"/>
      <c r="I1" s="154"/>
      <c r="J1" s="154"/>
      <c r="K1" s="154"/>
      <c r="L1" s="154"/>
    </row>
    <row r="2" spans="1:12">
      <c r="A2" s="155" t="s">
        <v>1</v>
      </c>
      <c r="B2" s="155"/>
      <c r="C2" s="155"/>
      <c r="D2" s="155"/>
      <c r="E2" s="155"/>
      <c r="F2" s="155"/>
      <c r="G2" s="155"/>
      <c r="H2" s="155"/>
      <c r="I2" s="155"/>
      <c r="J2" s="155"/>
      <c r="K2" s="155"/>
      <c r="L2" s="155"/>
    </row>
    <row r="3" spans="1:12" s="2" customFormat="1" ht="16.100000000000001"/>
    <row r="4" spans="1:12" s="2" customFormat="1" ht="16.100000000000001">
      <c r="A4" s="156" t="s">
        <v>2</v>
      </c>
      <c r="B4" s="156"/>
      <c r="C4" s="150" t="s">
        <v>3</v>
      </c>
      <c r="D4" s="150"/>
      <c r="E4" s="156" t="s">
        <v>4</v>
      </c>
      <c r="F4" s="156"/>
      <c r="G4" s="150" t="s">
        <v>5</v>
      </c>
      <c r="H4" s="150"/>
      <c r="I4" s="150"/>
      <c r="J4" s="150"/>
      <c r="K4" s="150"/>
      <c r="L4" s="150"/>
    </row>
    <row r="5" spans="1:12" s="2" customFormat="1" ht="16.100000000000001">
      <c r="A5" s="157"/>
      <c r="B5" s="157"/>
      <c r="C5" s="158"/>
      <c r="D5" s="158"/>
      <c r="E5" s="156" t="s">
        <v>6</v>
      </c>
      <c r="F5" s="156"/>
      <c r="G5" s="150" t="s">
        <v>7</v>
      </c>
      <c r="H5" s="150"/>
      <c r="I5" s="150"/>
      <c r="J5" s="150"/>
      <c r="K5" s="150"/>
      <c r="L5" s="150"/>
    </row>
    <row r="6" spans="1:12" s="2" customFormat="1" ht="16.100000000000001"/>
    <row r="7" spans="1:12" s="2" customFormat="1" ht="16.100000000000001">
      <c r="A7" s="153"/>
      <c r="B7" s="153"/>
      <c r="C7" s="153"/>
      <c r="D7" s="153"/>
      <c r="E7" s="153"/>
      <c r="F7" s="153"/>
      <c r="G7" s="153"/>
      <c r="H7" s="153"/>
      <c r="I7" s="153"/>
      <c r="J7" s="153"/>
      <c r="K7" s="153"/>
      <c r="L7" s="153"/>
    </row>
    <row r="8" spans="1:12" s="2" customFormat="1" ht="16.100000000000001"/>
    <row r="9" spans="1:12" s="2" customFormat="1" ht="16.100000000000001">
      <c r="A9" s="117" t="s">
        <v>8</v>
      </c>
      <c r="B9" s="117"/>
      <c r="C9" s="117"/>
      <c r="D9" s="117"/>
      <c r="E9" s="117"/>
      <c r="F9" s="117"/>
      <c r="G9" s="117"/>
      <c r="H9" s="117"/>
      <c r="I9" s="117"/>
      <c r="J9" s="117"/>
      <c r="K9" s="117"/>
      <c r="L9" s="117"/>
    </row>
    <row r="10" spans="1:12" s="2" customFormat="1" ht="16.100000000000001"/>
    <row r="11" spans="1:12" s="2" customFormat="1" ht="15.65" customHeight="1">
      <c r="A11" s="149" t="s">
        <v>9</v>
      </c>
      <c r="B11" s="149"/>
      <c r="C11" s="143"/>
      <c r="D11" s="144"/>
      <c r="E11" s="145"/>
      <c r="F11" s="151" t="s">
        <v>10</v>
      </c>
      <c r="G11" s="149"/>
      <c r="H11" s="152"/>
      <c r="I11" s="150"/>
      <c r="J11" s="150"/>
      <c r="K11" s="150"/>
      <c r="L11" s="150"/>
    </row>
    <row r="12" spans="1:12" s="2" customFormat="1" ht="15.65" customHeight="1">
      <c r="A12" s="149" t="s">
        <v>11</v>
      </c>
      <c r="B12" s="149"/>
      <c r="C12" s="143"/>
      <c r="D12" s="144"/>
      <c r="E12" s="145"/>
      <c r="F12" s="151" t="s">
        <v>12</v>
      </c>
      <c r="G12" s="149"/>
      <c r="H12" s="152"/>
      <c r="I12" s="150"/>
      <c r="J12" s="150"/>
      <c r="K12" s="150"/>
      <c r="L12" s="150"/>
    </row>
    <row r="13" spans="1:12" s="2" customFormat="1" ht="15.65" customHeight="1">
      <c r="A13" s="24"/>
      <c r="B13" s="24" t="s">
        <v>13</v>
      </c>
      <c r="C13" s="143"/>
      <c r="D13" s="144"/>
      <c r="E13" s="145"/>
      <c r="F13" s="151" t="s">
        <v>14</v>
      </c>
      <c r="G13" s="149"/>
      <c r="H13" s="152"/>
      <c r="I13" s="143"/>
      <c r="J13" s="144"/>
      <c r="K13" s="144"/>
      <c r="L13" s="145"/>
    </row>
    <row r="14" spans="1:12" s="2" customFormat="1" ht="15.65" customHeight="1">
      <c r="A14" s="149" t="s">
        <v>15</v>
      </c>
      <c r="B14" s="149"/>
      <c r="C14" s="143"/>
      <c r="D14" s="144"/>
      <c r="E14" s="145"/>
      <c r="F14" s="151" t="s">
        <v>16</v>
      </c>
      <c r="G14" s="149"/>
      <c r="H14" s="152"/>
      <c r="I14" s="150" t="s">
        <v>17</v>
      </c>
      <c r="J14" s="150"/>
      <c r="K14" s="150"/>
      <c r="L14" s="150"/>
    </row>
    <row r="15" spans="1:12" s="2" customFormat="1" ht="15.65" customHeight="1">
      <c r="A15" s="149" t="s">
        <v>18</v>
      </c>
      <c r="B15" s="149"/>
      <c r="C15" s="143"/>
      <c r="D15" s="144"/>
      <c r="E15" s="145"/>
      <c r="F15" s="151" t="s">
        <v>19</v>
      </c>
      <c r="G15" s="149"/>
      <c r="H15" s="152"/>
      <c r="I15" s="150"/>
      <c r="J15" s="150"/>
      <c r="K15" s="150"/>
      <c r="L15" s="150"/>
    </row>
    <row r="16" spans="1:12" s="2" customFormat="1" ht="16.100000000000001">
      <c r="A16" s="149" t="s">
        <v>20</v>
      </c>
      <c r="B16" s="149"/>
      <c r="C16" s="143"/>
      <c r="D16" s="144"/>
      <c r="E16" s="145"/>
    </row>
    <row r="17" spans="1:12" s="2" customFormat="1" ht="16.100000000000001"/>
    <row r="18" spans="1:12" s="2" customFormat="1" ht="16.649999999999999" thickBot="1">
      <c r="A18" s="117" t="s">
        <v>21</v>
      </c>
      <c r="B18" s="117"/>
      <c r="C18" s="117"/>
      <c r="D18" s="117"/>
      <c r="E18" s="117"/>
      <c r="F18" s="117"/>
      <c r="G18" s="117"/>
      <c r="H18" s="117"/>
      <c r="I18" s="117"/>
      <c r="J18" s="117"/>
      <c r="K18" s="117"/>
      <c r="L18" s="117"/>
    </row>
    <row r="19" spans="1:12" s="2" customFormat="1" ht="24.65" customHeight="1">
      <c r="A19" s="142" t="s">
        <v>22</v>
      </c>
      <c r="B19" s="142"/>
      <c r="C19" s="143" t="s">
        <v>23</v>
      </c>
      <c r="D19" s="144"/>
      <c r="E19" s="145"/>
      <c r="F19" s="3"/>
      <c r="G19" s="3"/>
      <c r="H19" s="3"/>
      <c r="I19" s="3"/>
      <c r="J19" s="3"/>
      <c r="K19" s="3"/>
      <c r="L19" s="3"/>
    </row>
    <row r="20" spans="1:12" s="2" customFormat="1" ht="32.15">
      <c r="A20" s="4" t="s">
        <v>24</v>
      </c>
      <c r="B20" s="99" t="s">
        <v>25</v>
      </c>
      <c r="C20" s="99"/>
      <c r="D20" s="99"/>
      <c r="E20" s="99"/>
      <c r="F20" s="99"/>
      <c r="G20" s="99"/>
      <c r="H20" s="99"/>
      <c r="I20" s="4" t="s">
        <v>26</v>
      </c>
      <c r="J20" s="4" t="s">
        <v>27</v>
      </c>
      <c r="K20" s="5" t="s">
        <v>28</v>
      </c>
      <c r="L20" s="5" t="s">
        <v>29</v>
      </c>
    </row>
    <row r="21" spans="1:12" s="2" customFormat="1" ht="16.100000000000001">
      <c r="A21" s="6" t="s">
        <v>30</v>
      </c>
      <c r="B21" s="100" t="s">
        <v>31</v>
      </c>
      <c r="C21" s="100"/>
      <c r="D21" s="100"/>
      <c r="E21" s="100"/>
      <c r="F21" s="100"/>
      <c r="G21" s="100"/>
      <c r="H21" s="100"/>
      <c r="I21" s="7" t="s">
        <v>30</v>
      </c>
      <c r="J21" s="6" t="s">
        <v>32</v>
      </c>
      <c r="K21" s="8">
        <v>2000</v>
      </c>
      <c r="L21" s="9">
        <f>IF(ISNUMBER(I21),I21*K21,K21)</f>
        <v>2000</v>
      </c>
    </row>
    <row r="22" spans="1:12" s="2" customFormat="1" ht="16.100000000000001">
      <c r="A22" s="10" t="s">
        <v>33</v>
      </c>
      <c r="B22" s="101" t="s">
        <v>34</v>
      </c>
      <c r="C22" s="101"/>
      <c r="D22" s="101"/>
      <c r="E22" s="101"/>
      <c r="F22" s="101"/>
      <c r="G22" s="101"/>
      <c r="H22" s="101"/>
      <c r="I22" s="7"/>
      <c r="J22" s="11" t="s">
        <v>27</v>
      </c>
      <c r="K22" s="8" t="s">
        <v>35</v>
      </c>
      <c r="L22" s="12" t="str">
        <f>IF(ISNUMBER(I22),I22*K22,K22)</f>
        <v>included</v>
      </c>
    </row>
    <row r="23" spans="1:12" s="2" customFormat="1" ht="16.100000000000001">
      <c r="A23" s="6" t="s">
        <v>36</v>
      </c>
      <c r="B23" s="100" t="s">
        <v>37</v>
      </c>
      <c r="C23" s="100"/>
      <c r="D23" s="100"/>
      <c r="E23" s="100"/>
      <c r="F23" s="100"/>
      <c r="G23" s="100"/>
      <c r="H23" s="100"/>
      <c r="I23" s="7" t="s">
        <v>30</v>
      </c>
      <c r="J23" s="6" t="s">
        <v>38</v>
      </c>
      <c r="K23" s="8" t="s">
        <v>35</v>
      </c>
      <c r="L23" s="9" t="str">
        <f>IF(ISNUMBER(I23),I23*K23,K23)</f>
        <v>included</v>
      </c>
    </row>
    <row r="24" spans="1:12" s="2" customFormat="1" ht="16.100000000000001">
      <c r="A24" s="10" t="s">
        <v>39</v>
      </c>
      <c r="B24" s="101" t="s">
        <v>40</v>
      </c>
      <c r="C24" s="101"/>
      <c r="D24" s="101"/>
      <c r="E24" s="101"/>
      <c r="F24" s="101"/>
      <c r="G24" s="101"/>
      <c r="H24" s="101"/>
      <c r="I24" s="7" t="s">
        <v>30</v>
      </c>
      <c r="J24" s="10" t="s">
        <v>38</v>
      </c>
      <c r="K24" s="8" t="s">
        <v>35</v>
      </c>
      <c r="L24" s="12" t="str">
        <f>IF(ISNUMBER(I24),I24*K24,K24)</f>
        <v>included</v>
      </c>
    </row>
    <row r="25" spans="1:12" s="2" customFormat="1" ht="16.100000000000001">
      <c r="A25" s="140"/>
      <c r="B25" s="140"/>
      <c r="C25" s="140"/>
      <c r="D25" s="140"/>
      <c r="E25" s="140"/>
      <c r="F25" s="140"/>
      <c r="G25" s="140"/>
      <c r="H25" s="140"/>
      <c r="I25" s="140"/>
      <c r="J25" s="141" t="s">
        <v>41</v>
      </c>
      <c r="K25" s="141"/>
      <c r="L25" s="13">
        <f>SUM(L21:L24)</f>
        <v>2000</v>
      </c>
    </row>
    <row r="26" spans="1:12" s="2" customFormat="1" ht="16.100000000000001">
      <c r="A26" s="14"/>
      <c r="B26" s="14"/>
      <c r="C26" s="14"/>
      <c r="D26" s="14"/>
      <c r="E26" s="14"/>
      <c r="F26" s="14"/>
      <c r="G26" s="14"/>
      <c r="H26" s="14"/>
      <c r="I26" s="96" t="s">
        <v>42</v>
      </c>
      <c r="J26" s="96"/>
      <c r="K26" s="15">
        <f>SUM(J41:J44)</f>
        <v>0</v>
      </c>
      <c r="L26" s="14"/>
    </row>
    <row r="27" spans="1:12" s="2" customFormat="1" ht="16.100000000000001">
      <c r="A27" s="14"/>
      <c r="B27" s="14"/>
      <c r="C27" s="14"/>
      <c r="D27" s="14"/>
      <c r="E27" s="14"/>
      <c r="F27" s="14"/>
      <c r="G27" s="14"/>
      <c r="H27" s="14"/>
      <c r="I27" s="97" t="s">
        <v>43</v>
      </c>
      <c r="J27" s="98"/>
      <c r="K27" s="16">
        <f>SUM(J45:J46)</f>
        <v>2000</v>
      </c>
      <c r="L27" s="19"/>
    </row>
    <row r="28" spans="1:12" s="2" customFormat="1" ht="16.100000000000001">
      <c r="A28" s="146"/>
      <c r="B28" s="146"/>
      <c r="C28" s="146"/>
      <c r="D28" s="146"/>
      <c r="E28" s="146"/>
      <c r="F28" s="146"/>
      <c r="G28" s="146"/>
      <c r="H28" s="146"/>
      <c r="I28" s="146"/>
      <c r="J28" s="147" t="s">
        <v>44</v>
      </c>
      <c r="K28" s="148"/>
      <c r="L28" s="17">
        <f>-SUM(K26:K27)</f>
        <v>-2000</v>
      </c>
    </row>
    <row r="29" spans="1:12" s="2" customFormat="1" ht="16.100000000000001">
      <c r="A29" s="140"/>
      <c r="B29" s="140"/>
      <c r="C29" s="140"/>
      <c r="D29" s="140"/>
      <c r="E29" s="140"/>
      <c r="F29" s="140"/>
      <c r="G29" s="140"/>
      <c r="H29" s="140"/>
      <c r="I29" s="140"/>
      <c r="J29" s="141" t="s">
        <v>45</v>
      </c>
      <c r="K29" s="141"/>
      <c r="L29" s="13">
        <f>L25+L28</f>
        <v>0</v>
      </c>
    </row>
    <row r="30" spans="1:12" s="2" customFormat="1" ht="16.100000000000001"/>
    <row r="31" spans="1:12" s="2" customFormat="1" ht="16.100000000000001"/>
    <row r="32" spans="1:12" s="2" customFormat="1" ht="16.649999999999999" thickBot="1">
      <c r="A32" s="117" t="s">
        <v>46</v>
      </c>
      <c r="B32" s="117"/>
      <c r="C32" s="117"/>
      <c r="D32" s="117"/>
      <c r="E32" s="117"/>
      <c r="F32" s="117"/>
      <c r="G32" s="117"/>
      <c r="H32" s="117"/>
      <c r="I32" s="117"/>
      <c r="J32" s="117"/>
      <c r="K32" s="117"/>
      <c r="L32" s="117"/>
    </row>
    <row r="33" spans="1:12" s="2" customFormat="1" ht="16.100000000000001">
      <c r="A33" s="4" t="s">
        <v>24</v>
      </c>
      <c r="B33" s="122" t="s">
        <v>47</v>
      </c>
      <c r="C33" s="123"/>
      <c r="D33" s="123"/>
      <c r="E33" s="123"/>
      <c r="F33" s="123"/>
      <c r="G33" s="124"/>
      <c r="H33" s="106" t="s">
        <v>48</v>
      </c>
      <c r="I33" s="107"/>
      <c r="J33" s="4" t="s">
        <v>49</v>
      </c>
      <c r="K33" s="106" t="s">
        <v>50</v>
      </c>
      <c r="L33" s="107"/>
    </row>
    <row r="34" spans="1:12" s="2" customFormat="1" ht="15.65" customHeight="1">
      <c r="A34" s="6">
        <v>1</v>
      </c>
      <c r="B34" s="108" t="s">
        <v>51</v>
      </c>
      <c r="C34" s="109"/>
      <c r="D34" s="109"/>
      <c r="E34" s="109"/>
      <c r="F34" s="109"/>
      <c r="G34" s="110"/>
      <c r="H34" s="102"/>
      <c r="I34" s="103"/>
      <c r="J34" s="18"/>
      <c r="K34" s="118"/>
      <c r="L34" s="119"/>
    </row>
    <row r="35" spans="1:12" s="2" customFormat="1" ht="15.65" customHeight="1">
      <c r="A35" s="10">
        <v>2</v>
      </c>
      <c r="B35" s="101" t="s">
        <v>52</v>
      </c>
      <c r="C35" s="111"/>
      <c r="D35" s="111"/>
      <c r="E35" s="111"/>
      <c r="F35" s="111"/>
      <c r="G35" s="112"/>
      <c r="H35" s="104"/>
      <c r="I35" s="105"/>
      <c r="J35" s="18"/>
      <c r="K35" s="120"/>
      <c r="L35" s="121"/>
    </row>
    <row r="36" spans="1:12" s="2" customFormat="1" ht="15.65" customHeight="1">
      <c r="A36" s="6">
        <v>3</v>
      </c>
      <c r="B36" s="100" t="s">
        <v>53</v>
      </c>
      <c r="C36" s="113"/>
      <c r="D36" s="113"/>
      <c r="E36" s="113"/>
      <c r="F36" s="113"/>
      <c r="G36" s="114"/>
      <c r="H36" s="104"/>
      <c r="I36" s="105"/>
      <c r="J36" s="18"/>
      <c r="K36" s="120"/>
      <c r="L36" s="121"/>
    </row>
    <row r="37" spans="1:12" s="2" customFormat="1" ht="16.100000000000001"/>
    <row r="38" spans="1:12" s="2" customFormat="1" ht="16.100000000000001"/>
    <row r="39" spans="1:12" s="2" customFormat="1" ht="16.649999999999999" thickBot="1">
      <c r="A39" s="117" t="s">
        <v>54</v>
      </c>
      <c r="B39" s="117"/>
      <c r="C39" s="117"/>
      <c r="D39" s="117"/>
      <c r="E39" s="117"/>
      <c r="F39" s="117"/>
      <c r="G39" s="117"/>
      <c r="H39" s="117"/>
      <c r="I39" s="117"/>
      <c r="J39" s="117"/>
      <c r="K39" s="117"/>
      <c r="L39" s="117"/>
    </row>
    <row r="40" spans="1:12" s="2" customFormat="1" ht="15.65" customHeight="1">
      <c r="A40" s="4"/>
      <c r="B40" s="122" t="s">
        <v>55</v>
      </c>
      <c r="C40" s="123"/>
      <c r="D40" s="123"/>
      <c r="E40" s="124"/>
      <c r="F40" s="106" t="s">
        <v>56</v>
      </c>
      <c r="G40" s="138"/>
      <c r="H40" s="138"/>
      <c r="I40" s="107"/>
      <c r="J40" s="4" t="s">
        <v>57</v>
      </c>
      <c r="K40" s="106" t="s">
        <v>50</v>
      </c>
      <c r="L40" s="107"/>
    </row>
    <row r="41" spans="1:12" s="2" customFormat="1" ht="15.65" customHeight="1">
      <c r="A41" s="91" t="s">
        <v>58</v>
      </c>
      <c r="B41" s="108" t="s">
        <v>59</v>
      </c>
      <c r="C41" s="109"/>
      <c r="D41" s="109"/>
      <c r="E41" s="139"/>
      <c r="F41" s="108"/>
      <c r="G41" s="109"/>
      <c r="H41" s="109"/>
      <c r="I41" s="110"/>
      <c r="J41" s="8"/>
      <c r="K41" s="120"/>
      <c r="L41" s="121"/>
    </row>
    <row r="42" spans="1:12" s="2" customFormat="1" ht="16.100000000000001">
      <c r="A42" s="92"/>
      <c r="B42" s="101" t="s">
        <v>60</v>
      </c>
      <c r="C42" s="111"/>
      <c r="D42" s="111"/>
      <c r="E42" s="115"/>
      <c r="F42" s="101"/>
      <c r="G42" s="111"/>
      <c r="H42" s="111"/>
      <c r="I42" s="112"/>
      <c r="J42" s="8"/>
      <c r="K42" s="120"/>
      <c r="L42" s="121"/>
    </row>
    <row r="43" spans="1:12" s="2" customFormat="1" ht="15.65" customHeight="1">
      <c r="A43" s="92"/>
      <c r="B43" s="100" t="s">
        <v>61</v>
      </c>
      <c r="C43" s="113"/>
      <c r="D43" s="113"/>
      <c r="E43" s="116"/>
      <c r="F43" s="100"/>
      <c r="G43" s="113"/>
      <c r="H43" s="113"/>
      <c r="I43" s="114"/>
      <c r="J43" s="8"/>
      <c r="K43" s="120"/>
      <c r="L43" s="121"/>
    </row>
    <row r="44" spans="1:12" s="2" customFormat="1" ht="16.100000000000001">
      <c r="A44" s="93"/>
      <c r="B44" s="101" t="s">
        <v>62</v>
      </c>
      <c r="C44" s="111"/>
      <c r="D44" s="111"/>
      <c r="E44" s="115"/>
      <c r="F44" s="101"/>
      <c r="G44" s="111"/>
      <c r="H44" s="111"/>
      <c r="I44" s="112"/>
      <c r="J44" s="8"/>
      <c r="K44" s="120"/>
      <c r="L44" s="121"/>
    </row>
    <row r="45" spans="1:12" s="2" customFormat="1" ht="15.65" customHeight="1">
      <c r="A45" s="94" t="s">
        <v>63</v>
      </c>
      <c r="B45" s="100" t="s">
        <v>64</v>
      </c>
      <c r="C45" s="113"/>
      <c r="D45" s="113"/>
      <c r="E45" s="116"/>
      <c r="F45" s="100" t="s">
        <v>65</v>
      </c>
      <c r="G45" s="113"/>
      <c r="H45" s="113"/>
      <c r="I45" s="114"/>
      <c r="J45" s="8">
        <v>2000</v>
      </c>
      <c r="K45" s="120"/>
      <c r="L45" s="121"/>
    </row>
    <row r="46" spans="1:12" s="2" customFormat="1" ht="15.65" customHeight="1">
      <c r="A46" s="95"/>
      <c r="B46" s="101" t="s">
        <v>66</v>
      </c>
      <c r="C46" s="111"/>
      <c r="D46" s="111"/>
      <c r="E46" s="115"/>
      <c r="F46" s="101"/>
      <c r="G46" s="111"/>
      <c r="H46" s="111"/>
      <c r="I46" s="112"/>
      <c r="J46" s="8"/>
      <c r="K46" s="120"/>
      <c r="L46" s="121"/>
    </row>
    <row r="47" spans="1:12" s="2" customFormat="1" ht="16.100000000000001"/>
    <row r="48" spans="1:12" s="2" customFormat="1" ht="15.65" customHeight="1">
      <c r="A48" s="128" t="s">
        <v>67</v>
      </c>
      <c r="B48" s="128"/>
      <c r="C48" s="128"/>
      <c r="D48" s="128"/>
      <c r="E48" s="128"/>
      <c r="F48" s="128"/>
      <c r="G48" s="128"/>
      <c r="H48" s="128"/>
      <c r="I48" s="128"/>
      <c r="J48" s="128"/>
      <c r="K48" s="128"/>
      <c r="L48" s="128"/>
    </row>
    <row r="49" spans="1:12" s="2" customFormat="1" ht="16.100000000000001">
      <c r="A49" s="129"/>
      <c r="B49" s="129"/>
      <c r="C49" s="129"/>
      <c r="D49" s="129"/>
      <c r="E49" s="129"/>
      <c r="F49" s="129"/>
      <c r="G49" s="129"/>
      <c r="H49" s="129"/>
      <c r="I49" s="129"/>
      <c r="J49" s="129"/>
      <c r="K49" s="129"/>
      <c r="L49" s="129"/>
    </row>
    <row r="50" spans="1:12" s="2" customFormat="1" ht="16.100000000000001"/>
    <row r="51" spans="1:12" s="2" customFormat="1" ht="16.100000000000001">
      <c r="A51" s="126" t="s">
        <v>68</v>
      </c>
      <c r="B51" s="126"/>
      <c r="C51" s="130"/>
      <c r="D51" s="131"/>
      <c r="E51" s="131"/>
      <c r="F51" s="131"/>
      <c r="G51" s="131"/>
      <c r="H51" s="131"/>
      <c r="I51" s="131"/>
      <c r="J51" s="131"/>
      <c r="K51" s="131"/>
      <c r="L51" s="132"/>
    </row>
    <row r="52" spans="1:12" s="2" customFormat="1" ht="16.100000000000001">
      <c r="C52" s="133"/>
      <c r="D52" s="134"/>
      <c r="E52" s="134"/>
      <c r="F52" s="134"/>
      <c r="G52" s="134"/>
      <c r="H52" s="134"/>
      <c r="I52" s="134"/>
      <c r="J52" s="134"/>
      <c r="K52" s="134"/>
      <c r="L52" s="135"/>
    </row>
    <row r="53" spans="1:12" s="2" customFormat="1" ht="16.100000000000001"/>
    <row r="54" spans="1:12" s="2" customFormat="1" ht="16.100000000000001">
      <c r="A54" s="117" t="s">
        <v>69</v>
      </c>
      <c r="B54" s="117"/>
      <c r="C54" s="117"/>
      <c r="D54" s="117"/>
      <c r="E54" s="117"/>
      <c r="F54" s="117"/>
      <c r="G54" s="117"/>
      <c r="H54" s="117"/>
      <c r="I54" s="117"/>
      <c r="J54" s="117"/>
      <c r="K54" s="117"/>
      <c r="L54" s="117"/>
    </row>
    <row r="55" spans="1:12" s="2" customFormat="1" ht="34.5" customHeight="1">
      <c r="A55" s="127" t="s">
        <v>70</v>
      </c>
      <c r="B55" s="127"/>
      <c r="C55" s="127"/>
      <c r="D55" s="127"/>
      <c r="E55" s="127"/>
      <c r="F55" s="127"/>
      <c r="G55" s="127"/>
      <c r="H55" s="127"/>
      <c r="I55" s="127"/>
      <c r="J55" s="127"/>
      <c r="K55" s="127"/>
      <c r="L55" s="127"/>
    </row>
    <row r="56" spans="1:12" s="2" customFormat="1" ht="16.100000000000001"/>
    <row r="57" spans="1:12" s="2" customFormat="1" ht="16.100000000000001">
      <c r="A57" s="136"/>
      <c r="B57" s="136"/>
      <c r="C57" s="136"/>
      <c r="D57" s="136"/>
      <c r="E57" s="136"/>
      <c r="H57" s="136"/>
      <c r="I57" s="136"/>
      <c r="J57" s="136"/>
      <c r="K57" s="136"/>
      <c r="L57" s="136"/>
    </row>
    <row r="58" spans="1:12" s="2" customFormat="1" ht="16.100000000000001">
      <c r="A58" s="137" t="s">
        <v>71</v>
      </c>
      <c r="B58" s="137"/>
      <c r="C58" s="137"/>
      <c r="D58" s="137"/>
      <c r="E58" s="137"/>
      <c r="H58" s="137" t="s">
        <v>72</v>
      </c>
      <c r="I58" s="137"/>
      <c r="J58" s="137"/>
      <c r="K58" s="137"/>
      <c r="L58" s="137"/>
    </row>
    <row r="59" spans="1:12" s="2" customFormat="1" ht="16.100000000000001"/>
    <row r="60" spans="1:12" s="2" customFormat="1" ht="16.100000000000001"/>
    <row r="61" spans="1:12" s="2" customFormat="1" ht="16.100000000000001">
      <c r="A61" s="125" t="s">
        <v>73</v>
      </c>
      <c r="B61" s="125"/>
      <c r="C61" s="125"/>
      <c r="D61" s="125"/>
      <c r="E61" s="125"/>
      <c r="F61" s="125"/>
      <c r="G61" s="125"/>
      <c r="H61" s="125"/>
      <c r="I61" s="125"/>
      <c r="J61" s="125"/>
      <c r="K61" s="125"/>
      <c r="L61" s="125"/>
    </row>
  </sheetData>
  <mergeCells count="101">
    <mergeCell ref="C13:E13"/>
    <mergeCell ref="F13:H13"/>
    <mergeCell ref="I13:L13"/>
    <mergeCell ref="A7:L7"/>
    <mergeCell ref="A1:L1"/>
    <mergeCell ref="A2:L2"/>
    <mergeCell ref="A4:B4"/>
    <mergeCell ref="C4:D4"/>
    <mergeCell ref="E4:F4"/>
    <mergeCell ref="G4:L4"/>
    <mergeCell ref="A5:B5"/>
    <mergeCell ref="C5:D5"/>
    <mergeCell ref="E5:F5"/>
    <mergeCell ref="G5:L5"/>
    <mergeCell ref="A9:L9"/>
    <mergeCell ref="A11:B11"/>
    <mergeCell ref="I11:L11"/>
    <mergeCell ref="A12:B12"/>
    <mergeCell ref="I12:L12"/>
    <mergeCell ref="C11:E11"/>
    <mergeCell ref="C12:E12"/>
    <mergeCell ref="F11:H11"/>
    <mergeCell ref="F12:H12"/>
    <mergeCell ref="A14:B14"/>
    <mergeCell ref="I14:L14"/>
    <mergeCell ref="A15:B15"/>
    <mergeCell ref="A16:B16"/>
    <mergeCell ref="I15:L15"/>
    <mergeCell ref="C14:E14"/>
    <mergeCell ref="C15:E15"/>
    <mergeCell ref="C16:E16"/>
    <mergeCell ref="F14:H14"/>
    <mergeCell ref="F15:H15"/>
    <mergeCell ref="A29:I29"/>
    <mergeCell ref="J29:K29"/>
    <mergeCell ref="A32:L32"/>
    <mergeCell ref="A18:L18"/>
    <mergeCell ref="B20:F20"/>
    <mergeCell ref="B21:F21"/>
    <mergeCell ref="B22:F22"/>
    <mergeCell ref="A19:B19"/>
    <mergeCell ref="C19:E19"/>
    <mergeCell ref="B23:F23"/>
    <mergeCell ref="B24:F24"/>
    <mergeCell ref="A25:I25"/>
    <mergeCell ref="J25:K25"/>
    <mergeCell ref="A28:I28"/>
    <mergeCell ref="J28:K28"/>
    <mergeCell ref="F44:I44"/>
    <mergeCell ref="F45:I45"/>
    <mergeCell ref="K40:L40"/>
    <mergeCell ref="K41:L41"/>
    <mergeCell ref="K42:L42"/>
    <mergeCell ref="K43:L43"/>
    <mergeCell ref="K44:L44"/>
    <mergeCell ref="K45:L45"/>
    <mergeCell ref="B33:G33"/>
    <mergeCell ref="F40:I40"/>
    <mergeCell ref="F41:I41"/>
    <mergeCell ref="F42:I42"/>
    <mergeCell ref="F43:I43"/>
    <mergeCell ref="B41:E41"/>
    <mergeCell ref="B42:E42"/>
    <mergeCell ref="B43:E43"/>
    <mergeCell ref="A61:L61"/>
    <mergeCell ref="A51:B51"/>
    <mergeCell ref="A54:L54"/>
    <mergeCell ref="A55:L55"/>
    <mergeCell ref="A48:L49"/>
    <mergeCell ref="C51:L52"/>
    <mergeCell ref="K46:L46"/>
    <mergeCell ref="A57:E57"/>
    <mergeCell ref="H57:L57"/>
    <mergeCell ref="A58:E58"/>
    <mergeCell ref="H58:L58"/>
    <mergeCell ref="F46:I46"/>
    <mergeCell ref="B46:E46"/>
    <mergeCell ref="A41:A44"/>
    <mergeCell ref="A45:A46"/>
    <mergeCell ref="I26:J26"/>
    <mergeCell ref="I27:J27"/>
    <mergeCell ref="G20:H20"/>
    <mergeCell ref="G21:H21"/>
    <mergeCell ref="G22:H22"/>
    <mergeCell ref="G23:H23"/>
    <mergeCell ref="G24:H24"/>
    <mergeCell ref="H34:I34"/>
    <mergeCell ref="H35:I35"/>
    <mergeCell ref="H36:I36"/>
    <mergeCell ref="H33:I33"/>
    <mergeCell ref="B34:G34"/>
    <mergeCell ref="B35:G35"/>
    <mergeCell ref="B36:G36"/>
    <mergeCell ref="B44:E44"/>
    <mergeCell ref="B45:E45"/>
    <mergeCell ref="A39:L39"/>
    <mergeCell ref="K33:L33"/>
    <mergeCell ref="K34:L34"/>
    <mergeCell ref="K35:L35"/>
    <mergeCell ref="K36:L36"/>
    <mergeCell ref="B40:E40"/>
  </mergeCells>
  <printOptions horizontalCentered="1" verticalCentered="1"/>
  <pageMargins left="0.25" right="0.25" top="0.75" bottom="0.75" header="0.3" footer="0.3"/>
  <pageSetup scale="70" fitToHeight="0" orientation="portrait" horizontalDpi="300" verticalDpi="300" r:id="rId1"/>
  <ignoredErrors>
    <ignoredError sqref="I21 I23:I24" numberStoredAsText="1"/>
    <ignoredError sqref="K26" formulaRange="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8A4AD-4840-45B4-8CE2-CFCA0EB89EEE}">
  <sheetPr>
    <pageSetUpPr fitToPage="1"/>
  </sheetPr>
  <dimension ref="A1:R60"/>
  <sheetViews>
    <sheetView showGridLines="0" tabSelected="1" zoomScale="70" zoomScaleNormal="70" workbookViewId="0">
      <pane ySplit="1" topLeftCell="A10" activePane="bottomLeft" state="frozen"/>
      <selection pane="bottomLeft" activeCell="T9" sqref="T9"/>
    </sheetView>
  </sheetViews>
  <sheetFormatPr defaultColWidth="8.59765625" defaultRowHeight="23.85"/>
  <cols>
    <col min="1" max="1" width="5" style="1" customWidth="1"/>
    <col min="2" max="2" width="26" style="1" customWidth="1"/>
    <col min="3" max="3" width="13.69921875" style="1" customWidth="1"/>
    <col min="4" max="4" width="18" style="1" customWidth="1"/>
    <col min="5" max="5" width="12" style="1" customWidth="1"/>
    <col min="6" max="6" width="18.09765625" style="1" customWidth="1"/>
    <col min="7" max="7" width="6" style="1" customWidth="1"/>
    <col min="8" max="8" width="4.09765625" style="1" customWidth="1"/>
    <col min="9" max="9" width="1.09765625" style="1" customWidth="1"/>
    <col min="10" max="10" width="16.296875" style="1" customWidth="1"/>
    <col min="11" max="11" width="16.8984375" style="1" customWidth="1"/>
    <col min="12" max="12" width="13.69921875" style="1" customWidth="1"/>
    <col min="13" max="14" width="8.59765625" style="1"/>
    <col min="15" max="15" width="8.8984375" style="1" bestFit="1" customWidth="1"/>
    <col min="16" max="16" width="17.59765625" style="1" customWidth="1"/>
    <col min="17" max="17" width="8.59765625" style="1"/>
    <col min="18" max="18" width="11.59765625" style="1" customWidth="1"/>
    <col min="19" max="16384" width="8.59765625" style="1"/>
  </cols>
  <sheetData>
    <row r="1" spans="1:12" ht="32.4" customHeight="1">
      <c r="A1" s="154" t="s">
        <v>74</v>
      </c>
      <c r="B1" s="154"/>
      <c r="C1" s="154"/>
      <c r="D1" s="154"/>
      <c r="E1" s="154"/>
      <c r="F1" s="154"/>
      <c r="G1" s="154"/>
      <c r="H1" s="154"/>
      <c r="I1" s="154"/>
      <c r="J1" s="154"/>
      <c r="K1" s="154"/>
      <c r="L1" s="154"/>
    </row>
    <row r="2" spans="1:12">
      <c r="A2" s="155" t="s">
        <v>1</v>
      </c>
      <c r="B2" s="155"/>
      <c r="C2" s="155"/>
      <c r="D2" s="155"/>
      <c r="E2" s="155"/>
      <c r="F2" s="155"/>
      <c r="G2" s="155"/>
      <c r="H2" s="155"/>
      <c r="I2" s="155"/>
      <c r="J2" s="155"/>
      <c r="K2" s="155"/>
      <c r="L2" s="155"/>
    </row>
    <row r="3" spans="1:12" s="2" customFormat="1" ht="16.100000000000001"/>
    <row r="4" spans="1:12" s="2" customFormat="1" ht="16.100000000000001">
      <c r="A4" s="156" t="s">
        <v>75</v>
      </c>
      <c r="B4" s="156"/>
      <c r="C4" s="150" t="s">
        <v>76</v>
      </c>
      <c r="D4" s="150"/>
      <c r="E4" s="156" t="s">
        <v>77</v>
      </c>
      <c r="F4" s="156"/>
      <c r="G4" s="150" t="s">
        <v>78</v>
      </c>
      <c r="H4" s="150"/>
      <c r="I4" s="150"/>
      <c r="J4" s="150"/>
      <c r="K4" s="150"/>
      <c r="L4" s="150"/>
    </row>
    <row r="5" spans="1:12" s="2" customFormat="1" ht="16.100000000000001">
      <c r="A5" s="157"/>
      <c r="B5" s="157"/>
      <c r="C5" s="158"/>
      <c r="D5" s="158"/>
      <c r="E5" s="156" t="s">
        <v>79</v>
      </c>
      <c r="F5" s="156"/>
      <c r="G5" s="150" t="s">
        <v>80</v>
      </c>
      <c r="H5" s="150"/>
      <c r="I5" s="150"/>
      <c r="J5" s="150"/>
      <c r="K5" s="150"/>
      <c r="L5" s="150"/>
    </row>
    <row r="6" spans="1:12" s="2" customFormat="1" ht="16.100000000000001"/>
    <row r="7" spans="1:12" s="2" customFormat="1" ht="16.100000000000001">
      <c r="A7" s="153"/>
      <c r="B7" s="153"/>
      <c r="C7" s="153"/>
      <c r="D7" s="153"/>
      <c r="E7" s="153"/>
      <c r="F7" s="153"/>
      <c r="G7" s="153"/>
      <c r="H7" s="153"/>
      <c r="I7" s="153"/>
      <c r="J7" s="153"/>
      <c r="K7" s="153"/>
      <c r="L7" s="153"/>
    </row>
    <row r="8" spans="1:12" s="2" customFormat="1" ht="16.100000000000001"/>
    <row r="9" spans="1:12" s="2" customFormat="1" ht="16.649999999999999" thickBot="1">
      <c r="A9" s="117" t="s">
        <v>8</v>
      </c>
      <c r="B9" s="117"/>
      <c r="C9" s="117"/>
      <c r="D9" s="117"/>
      <c r="E9" s="117"/>
      <c r="F9" s="117"/>
      <c r="G9" s="117"/>
      <c r="H9" s="117"/>
      <c r="I9" s="117"/>
      <c r="J9" s="117"/>
      <c r="K9" s="117"/>
      <c r="L9" s="117"/>
    </row>
    <row r="10" spans="1:12" s="2" customFormat="1" ht="16.100000000000001"/>
    <row r="11" spans="1:12" s="2" customFormat="1" ht="15.65" customHeight="1">
      <c r="A11" s="149" t="s">
        <v>9</v>
      </c>
      <c r="B11" s="149"/>
      <c r="C11" s="143">
        <f>'Energy Audit Invoice'!C11</f>
        <v>0</v>
      </c>
      <c r="D11" s="144"/>
      <c r="E11" s="145"/>
      <c r="F11" s="151" t="s">
        <v>10</v>
      </c>
      <c r="G11" s="149"/>
      <c r="H11" s="152"/>
      <c r="I11" s="150">
        <f>'Energy Audit Invoice'!I11</f>
        <v>0</v>
      </c>
      <c r="J11" s="150"/>
      <c r="K11" s="150"/>
      <c r="L11" s="150"/>
    </row>
    <row r="12" spans="1:12" s="2" customFormat="1" ht="15.65" customHeight="1">
      <c r="A12" s="149" t="s">
        <v>11</v>
      </c>
      <c r="B12" s="149"/>
      <c r="C12" s="143">
        <f>'Energy Audit Invoice'!C12</f>
        <v>0</v>
      </c>
      <c r="D12" s="144"/>
      <c r="E12" s="145"/>
      <c r="F12" s="151" t="s">
        <v>12</v>
      </c>
      <c r="G12" s="149"/>
      <c r="H12" s="152"/>
      <c r="I12" s="150">
        <f>'Energy Audit Invoice'!I12</f>
        <v>0</v>
      </c>
      <c r="J12" s="150"/>
      <c r="K12" s="150"/>
      <c r="L12" s="150"/>
    </row>
    <row r="13" spans="1:12" s="2" customFormat="1" ht="15.65" customHeight="1">
      <c r="A13" s="24"/>
      <c r="B13" s="24" t="s">
        <v>13</v>
      </c>
      <c r="C13" s="143">
        <f>'Energy Audit Invoice'!C13</f>
        <v>0</v>
      </c>
      <c r="D13" s="144"/>
      <c r="E13" s="145"/>
      <c r="F13" s="151" t="s">
        <v>14</v>
      </c>
      <c r="G13" s="149"/>
      <c r="H13" s="152"/>
      <c r="I13" s="150">
        <f>'Energy Audit Invoice'!I13</f>
        <v>0</v>
      </c>
      <c r="J13" s="150"/>
      <c r="K13" s="150"/>
      <c r="L13" s="150"/>
    </row>
    <row r="14" spans="1:12" s="2" customFormat="1" ht="15.65" customHeight="1">
      <c r="A14" s="149" t="s">
        <v>15</v>
      </c>
      <c r="B14" s="149"/>
      <c r="C14" s="143">
        <f>'Energy Audit Invoice'!C14</f>
        <v>0</v>
      </c>
      <c r="D14" s="144"/>
      <c r="E14" s="145"/>
      <c r="F14" s="151" t="s">
        <v>16</v>
      </c>
      <c r="G14" s="149"/>
      <c r="H14" s="152"/>
      <c r="I14" s="150" t="s">
        <v>17</v>
      </c>
      <c r="J14" s="150"/>
      <c r="K14" s="150"/>
      <c r="L14" s="150"/>
    </row>
    <row r="15" spans="1:12" s="2" customFormat="1" ht="15.65" customHeight="1">
      <c r="A15" s="149" t="s">
        <v>18</v>
      </c>
      <c r="B15" s="149"/>
      <c r="C15" s="143">
        <f>'Energy Audit Invoice'!C15</f>
        <v>0</v>
      </c>
      <c r="D15" s="144"/>
      <c r="E15" s="145"/>
      <c r="F15" s="151" t="s">
        <v>19</v>
      </c>
      <c r="G15" s="149"/>
      <c r="H15" s="152"/>
      <c r="I15" s="150">
        <f>'Energy Audit Invoice'!I15</f>
        <v>0</v>
      </c>
      <c r="J15" s="150"/>
      <c r="K15" s="150"/>
      <c r="L15" s="150"/>
    </row>
    <row r="16" spans="1:12" s="2" customFormat="1" ht="16.649999999999999" thickBot="1">
      <c r="A16" s="149" t="s">
        <v>20</v>
      </c>
      <c r="B16" s="149"/>
      <c r="C16" s="143">
        <f>'Energy Audit Invoice'!C16</f>
        <v>0</v>
      </c>
      <c r="D16" s="144"/>
      <c r="E16" s="145"/>
    </row>
    <row r="17" spans="1:18" s="2" customFormat="1" ht="18.3">
      <c r="N17" s="31" t="s">
        <v>81</v>
      </c>
      <c r="O17" s="32"/>
      <c r="P17" s="39">
        <v>11</v>
      </c>
      <c r="Q17" s="40" t="s">
        <v>82</v>
      </c>
      <c r="R17" s="33" t="s">
        <v>83</v>
      </c>
    </row>
    <row r="18" spans="1:18" s="2" customFormat="1" ht="16.649999999999999" thickBot="1">
      <c r="A18" s="117" t="s">
        <v>84</v>
      </c>
      <c r="B18" s="117"/>
      <c r="C18" s="117"/>
      <c r="D18" s="117"/>
      <c r="E18" s="117"/>
      <c r="F18" s="117"/>
      <c r="G18" s="117"/>
      <c r="H18" s="117"/>
      <c r="I18" s="117"/>
      <c r="J18" s="117"/>
      <c r="K18" s="117"/>
      <c r="L18" s="117"/>
      <c r="N18" s="34" t="s">
        <v>85</v>
      </c>
      <c r="P18" s="43">
        <f>P17*10000</f>
        <v>110000</v>
      </c>
      <c r="R18" s="35"/>
    </row>
    <row r="19" spans="1:18" s="2" customFormat="1" ht="17.350000000000001" customHeight="1">
      <c r="A19" s="168" t="s">
        <v>86</v>
      </c>
      <c r="B19" s="168"/>
      <c r="C19" s="143"/>
      <c r="D19" s="144"/>
      <c r="E19" s="145"/>
      <c r="F19" s="169" t="s">
        <v>87</v>
      </c>
      <c r="G19" s="169"/>
      <c r="H19" s="169"/>
      <c r="I19" s="170"/>
      <c r="J19" s="171"/>
      <c r="K19" s="171"/>
      <c r="L19" s="172"/>
      <c r="N19" s="34" t="s">
        <v>88</v>
      </c>
      <c r="P19" s="43">
        <f>SUM(J40:J43)</f>
        <v>0</v>
      </c>
      <c r="R19" s="35"/>
    </row>
    <row r="20" spans="1:18" s="2" customFormat="1" ht="17.45" customHeight="1" thickBot="1">
      <c r="A20" s="188" t="s">
        <v>22</v>
      </c>
      <c r="B20" s="188"/>
      <c r="C20" s="189" t="s">
        <v>23</v>
      </c>
      <c r="D20" s="190"/>
      <c r="E20" s="191"/>
      <c r="F20" s="22"/>
      <c r="G20" s="23"/>
      <c r="H20" s="23"/>
      <c r="I20" s="23"/>
      <c r="J20" s="23"/>
      <c r="K20" s="23"/>
      <c r="L20" s="23"/>
      <c r="N20" s="34" t="s">
        <v>89</v>
      </c>
      <c r="P20" s="43">
        <f>SUM(P18:P19)</f>
        <v>110000</v>
      </c>
      <c r="R20" s="35"/>
    </row>
    <row r="21" spans="1:18" s="2" customFormat="1" ht="16.100000000000001">
      <c r="A21" s="4" t="s">
        <v>24</v>
      </c>
      <c r="B21" s="192" t="s">
        <v>90</v>
      </c>
      <c r="C21" s="193"/>
      <c r="D21" s="192" t="s">
        <v>91</v>
      </c>
      <c r="E21" s="194"/>
      <c r="F21" s="194"/>
      <c r="G21" s="194"/>
      <c r="H21" s="193"/>
      <c r="I21" s="195" t="s">
        <v>26</v>
      </c>
      <c r="J21" s="196"/>
      <c r="K21" s="20" t="s">
        <v>27</v>
      </c>
      <c r="L21" s="21" t="s">
        <v>92</v>
      </c>
      <c r="N21" s="34" t="s">
        <v>93</v>
      </c>
      <c r="P21" s="28"/>
      <c r="R21" s="35"/>
    </row>
    <row r="22" spans="1:18" s="2" customFormat="1" ht="16.100000000000001">
      <c r="A22" s="6" t="s">
        <v>30</v>
      </c>
      <c r="B22" s="108" t="s">
        <v>94</v>
      </c>
      <c r="C22" s="109"/>
      <c r="D22" s="109"/>
      <c r="E22" s="109"/>
      <c r="F22" s="109"/>
      <c r="G22" s="109"/>
      <c r="H22" s="110"/>
      <c r="I22" s="162"/>
      <c r="J22" s="163"/>
      <c r="K22" s="6" t="s">
        <v>95</v>
      </c>
      <c r="L22" s="29">
        <f>P22</f>
        <v>48400</v>
      </c>
      <c r="N22" s="34"/>
      <c r="O22" s="26">
        <v>0.44</v>
      </c>
      <c r="P22" s="27">
        <f>$P$20*O22</f>
        <v>48400</v>
      </c>
      <c r="R22" s="35"/>
    </row>
    <row r="23" spans="1:18" s="2" customFormat="1" ht="16.100000000000001">
      <c r="A23" s="10" t="s">
        <v>33</v>
      </c>
      <c r="B23" s="101" t="s">
        <v>96</v>
      </c>
      <c r="C23" s="115"/>
      <c r="D23" s="101"/>
      <c r="E23" s="111"/>
      <c r="F23" s="111"/>
      <c r="G23" s="111"/>
      <c r="H23" s="112"/>
      <c r="I23" s="162"/>
      <c r="J23" s="163"/>
      <c r="K23" s="11" t="s">
        <v>95</v>
      </c>
      <c r="L23" s="30">
        <f t="shared" ref="L23:L29" si="0">P23</f>
        <v>60313</v>
      </c>
      <c r="N23" s="34"/>
      <c r="O23" s="26">
        <v>0.54830000000000001</v>
      </c>
      <c r="P23" s="27">
        <f>$P$20*O23</f>
        <v>60313</v>
      </c>
      <c r="R23" s="35"/>
    </row>
    <row r="24" spans="1:18" s="2" customFormat="1" ht="16.100000000000001">
      <c r="A24" s="6" t="s">
        <v>36</v>
      </c>
      <c r="B24" s="100" t="s">
        <v>97</v>
      </c>
      <c r="C24" s="116"/>
      <c r="D24" s="100"/>
      <c r="E24" s="113"/>
      <c r="F24" s="113"/>
      <c r="G24" s="113"/>
      <c r="H24" s="114"/>
      <c r="I24" s="162"/>
      <c r="J24" s="163"/>
      <c r="K24" s="6" t="s">
        <v>27</v>
      </c>
      <c r="L24" s="29">
        <f t="shared" si="0"/>
        <v>363</v>
      </c>
      <c r="N24" s="34"/>
      <c r="O24" s="26">
        <v>3.3E-3</v>
      </c>
      <c r="P24" s="27">
        <f>$P$20*O24</f>
        <v>363</v>
      </c>
      <c r="R24" s="35"/>
    </row>
    <row r="25" spans="1:18" s="2" customFormat="1" ht="16.100000000000001">
      <c r="A25" s="10" t="s">
        <v>39</v>
      </c>
      <c r="B25" s="101" t="s">
        <v>98</v>
      </c>
      <c r="C25" s="115"/>
      <c r="D25" s="101"/>
      <c r="E25" s="111"/>
      <c r="F25" s="111"/>
      <c r="G25" s="111"/>
      <c r="H25" s="112"/>
      <c r="I25" s="162"/>
      <c r="J25" s="163"/>
      <c r="K25" s="10" t="s">
        <v>27</v>
      </c>
      <c r="L25" s="30">
        <f t="shared" si="0"/>
        <v>385</v>
      </c>
      <c r="N25" s="34"/>
      <c r="O25" s="26">
        <v>3.5000000000000001E-3</v>
      </c>
      <c r="P25" s="27">
        <f>$P$20*O25</f>
        <v>385</v>
      </c>
      <c r="R25" s="35"/>
    </row>
    <row r="26" spans="1:18" s="2" customFormat="1" ht="16.100000000000001">
      <c r="A26" s="6">
        <v>5</v>
      </c>
      <c r="B26" s="100" t="s">
        <v>99</v>
      </c>
      <c r="C26" s="116"/>
      <c r="D26" s="100"/>
      <c r="E26" s="113"/>
      <c r="F26" s="113"/>
      <c r="G26" s="113"/>
      <c r="H26" s="114"/>
      <c r="I26" s="162"/>
      <c r="J26" s="163"/>
      <c r="K26" s="6" t="s">
        <v>27</v>
      </c>
      <c r="L26" s="29">
        <f t="shared" si="0"/>
        <v>539</v>
      </c>
      <c r="N26" s="34"/>
      <c r="O26" s="26">
        <v>4.8999999999999998E-3</v>
      </c>
      <c r="P26" s="27">
        <f>$P$20*O26</f>
        <v>539</v>
      </c>
      <c r="R26" s="35"/>
    </row>
    <row r="27" spans="1:18" s="2" customFormat="1" ht="16.100000000000001" hidden="1">
      <c r="A27" s="10">
        <v>6</v>
      </c>
      <c r="B27" s="101" t="s">
        <v>100</v>
      </c>
      <c r="C27" s="115"/>
      <c r="D27" s="101"/>
      <c r="E27" s="111"/>
      <c r="F27" s="111"/>
      <c r="G27" s="111"/>
      <c r="H27" s="112"/>
      <c r="I27" s="162">
        <f>P19</f>
        <v>0</v>
      </c>
      <c r="J27" s="163"/>
      <c r="K27" s="10" t="s">
        <v>27</v>
      </c>
      <c r="L27" s="30">
        <f t="shared" si="0"/>
        <v>0</v>
      </c>
      <c r="N27" s="34"/>
      <c r="O27" s="26"/>
      <c r="P27" s="27">
        <f t="shared" ref="P27:P29" si="1">$P$20*O27</f>
        <v>0</v>
      </c>
      <c r="R27" s="35"/>
    </row>
    <row r="28" spans="1:18" s="2" customFormat="1" ht="16.100000000000001" hidden="1">
      <c r="A28" s="6">
        <v>7</v>
      </c>
      <c r="B28" s="100" t="s">
        <v>101</v>
      </c>
      <c r="C28" s="116"/>
      <c r="D28" s="100"/>
      <c r="E28" s="113"/>
      <c r="F28" s="113"/>
      <c r="G28" s="113"/>
      <c r="H28" s="114"/>
      <c r="I28" s="162">
        <f>P19</f>
        <v>0</v>
      </c>
      <c r="J28" s="163"/>
      <c r="K28" s="6" t="s">
        <v>27</v>
      </c>
      <c r="L28" s="29">
        <f t="shared" si="0"/>
        <v>0</v>
      </c>
      <c r="N28" s="34"/>
      <c r="O28" s="26"/>
      <c r="P28" s="27">
        <f t="shared" si="1"/>
        <v>0</v>
      </c>
      <c r="R28" s="35"/>
    </row>
    <row r="29" spans="1:18" s="2" customFormat="1" ht="16.100000000000001" hidden="1">
      <c r="A29" s="49">
        <v>8</v>
      </c>
      <c r="B29" s="164" t="s">
        <v>102</v>
      </c>
      <c r="C29" s="165"/>
      <c r="D29" s="164"/>
      <c r="E29" s="166"/>
      <c r="F29" s="166"/>
      <c r="G29" s="166"/>
      <c r="H29" s="167"/>
      <c r="I29" s="130">
        <f>P19</f>
        <v>0</v>
      </c>
      <c r="J29" s="132"/>
      <c r="K29" s="49" t="s">
        <v>27</v>
      </c>
      <c r="L29" s="47">
        <f t="shared" si="0"/>
        <v>0</v>
      </c>
      <c r="N29" s="34"/>
      <c r="O29" s="26"/>
      <c r="P29" s="27">
        <f t="shared" si="1"/>
        <v>0</v>
      </c>
      <c r="R29" s="35"/>
    </row>
    <row r="30" spans="1:18" s="2" customFormat="1" ht="16.649999999999999" thickBot="1">
      <c r="A30" s="50"/>
      <c r="B30" s="50"/>
      <c r="C30" s="50"/>
      <c r="D30" s="50"/>
      <c r="E30" s="50"/>
      <c r="F30" s="50"/>
      <c r="G30" s="50"/>
      <c r="H30" s="50"/>
      <c r="I30" s="186" t="s">
        <v>41</v>
      </c>
      <c r="J30" s="186"/>
      <c r="K30" s="187"/>
      <c r="L30" s="48">
        <f>SUM(L22:L29)</f>
        <v>110000</v>
      </c>
      <c r="N30" s="36"/>
      <c r="O30" s="41">
        <f>SUM(O22:O29)</f>
        <v>0.99999999999999989</v>
      </c>
      <c r="P30" s="42">
        <f>SUM(P22:P29)</f>
        <v>110000</v>
      </c>
      <c r="Q30" s="37" t="s">
        <v>103</v>
      </c>
      <c r="R30" s="38"/>
    </row>
    <row r="31" spans="1:18" s="2" customFormat="1" ht="16.100000000000001">
      <c r="A31" s="183"/>
      <c r="B31" s="183"/>
      <c r="C31" s="183"/>
      <c r="D31" s="183"/>
      <c r="E31" s="183"/>
      <c r="F31" s="183"/>
      <c r="G31" s="183"/>
      <c r="H31" s="183"/>
      <c r="I31" s="180" t="s">
        <v>42</v>
      </c>
      <c r="J31" s="181"/>
      <c r="K31" s="51">
        <f>SUM(J40:J43)</f>
        <v>0</v>
      </c>
      <c r="L31" s="53"/>
    </row>
    <row r="32" spans="1:18" s="2" customFormat="1" ht="16.100000000000001">
      <c r="A32" s="14"/>
      <c r="B32" s="14"/>
      <c r="C32" s="14"/>
      <c r="D32" s="14"/>
      <c r="E32" s="14"/>
      <c r="F32" s="14"/>
      <c r="G32" s="14"/>
      <c r="H32" s="14"/>
      <c r="I32" s="182" t="s">
        <v>43</v>
      </c>
      <c r="J32" s="98"/>
      <c r="K32" s="52">
        <f>SUM(J44:J45)</f>
        <v>110000</v>
      </c>
      <c r="L32" s="54"/>
    </row>
    <row r="33" spans="1:12" s="2" customFormat="1" ht="16.100000000000001">
      <c r="A33" s="146"/>
      <c r="B33" s="146"/>
      <c r="C33" s="146"/>
      <c r="D33" s="146"/>
      <c r="E33" s="146"/>
      <c r="F33" s="146"/>
      <c r="G33" s="146"/>
      <c r="H33" s="146"/>
      <c r="I33" s="146"/>
      <c r="J33" s="178" t="s">
        <v>44</v>
      </c>
      <c r="K33" s="179"/>
      <c r="L33" s="45">
        <f>-SUM(K31:K32)</f>
        <v>-110000</v>
      </c>
    </row>
    <row r="34" spans="1:12" s="2" customFormat="1" ht="15.8" customHeight="1">
      <c r="A34" s="25"/>
      <c r="B34" s="25"/>
      <c r="C34" s="25"/>
      <c r="D34" s="25"/>
      <c r="E34" s="25"/>
      <c r="F34" s="25"/>
      <c r="G34" s="25"/>
      <c r="H34" s="25"/>
      <c r="I34" s="184" t="s">
        <v>45</v>
      </c>
      <c r="J34" s="184"/>
      <c r="K34" s="185"/>
      <c r="L34" s="46">
        <f>L30+L33</f>
        <v>0</v>
      </c>
    </row>
    <row r="35" spans="1:12" s="2" customFormat="1" ht="16.100000000000001"/>
    <row r="36" spans="1:12" s="2" customFormat="1" ht="16.100000000000001"/>
    <row r="37" spans="1:12" s="2" customFormat="1" ht="16.100000000000001"/>
    <row r="38" spans="1:12" s="2" customFormat="1" ht="16.5" customHeight="1" thickBot="1">
      <c r="A38" s="117" t="s">
        <v>104</v>
      </c>
      <c r="B38" s="117"/>
      <c r="C38" s="117"/>
      <c r="D38" s="117"/>
      <c r="E38" s="117"/>
      <c r="F38" s="117"/>
      <c r="G38" s="117"/>
      <c r="H38" s="117"/>
      <c r="I38" s="117"/>
      <c r="J38" s="117"/>
      <c r="K38" s="117"/>
      <c r="L38" s="117"/>
    </row>
    <row r="39" spans="1:12" s="2" customFormat="1" ht="15.65" customHeight="1">
      <c r="A39" s="4"/>
      <c r="B39" s="56" t="s">
        <v>55</v>
      </c>
      <c r="C39" s="57"/>
      <c r="D39" s="123" t="s">
        <v>56</v>
      </c>
      <c r="E39" s="123"/>
      <c r="F39" s="123"/>
      <c r="G39" s="123"/>
      <c r="H39" s="123"/>
      <c r="I39" s="124"/>
      <c r="J39" s="4" t="s">
        <v>57</v>
      </c>
      <c r="K39" s="106" t="s">
        <v>50</v>
      </c>
      <c r="L39" s="107"/>
    </row>
    <row r="40" spans="1:12" s="2" customFormat="1" ht="15.8" customHeight="1">
      <c r="A40" s="91" t="s">
        <v>58</v>
      </c>
      <c r="B40" s="108" t="s">
        <v>59</v>
      </c>
      <c r="C40" s="109"/>
      <c r="D40" s="175"/>
      <c r="E40" s="176"/>
      <c r="F40" s="176"/>
      <c r="G40" s="176"/>
      <c r="H40" s="176"/>
      <c r="I40" s="177"/>
      <c r="J40" s="44">
        <f>0.7*I22</f>
        <v>0</v>
      </c>
      <c r="K40" s="173" t="s">
        <v>105</v>
      </c>
      <c r="L40" s="174"/>
    </row>
    <row r="41" spans="1:12" s="2" customFormat="1" ht="15.8" customHeight="1">
      <c r="A41" s="92"/>
      <c r="B41" s="101" t="s">
        <v>60</v>
      </c>
      <c r="C41" s="111"/>
      <c r="D41" s="159"/>
      <c r="E41" s="160"/>
      <c r="F41" s="160"/>
      <c r="G41" s="160"/>
      <c r="H41" s="160"/>
      <c r="I41" s="161"/>
      <c r="J41" s="44"/>
      <c r="K41" s="173"/>
      <c r="L41" s="174"/>
    </row>
    <row r="42" spans="1:12" s="2" customFormat="1" ht="15.8" customHeight="1">
      <c r="A42" s="92"/>
      <c r="B42" s="100" t="s">
        <v>106</v>
      </c>
      <c r="C42" s="113"/>
      <c r="D42" s="159"/>
      <c r="E42" s="160"/>
      <c r="F42" s="160"/>
      <c r="G42" s="160"/>
      <c r="H42" s="160"/>
      <c r="I42" s="161"/>
      <c r="J42" s="44"/>
      <c r="K42" s="173"/>
      <c r="L42" s="174"/>
    </row>
    <row r="43" spans="1:12" s="2" customFormat="1" ht="15.8" customHeight="1">
      <c r="A43" s="93"/>
      <c r="B43" s="101" t="s">
        <v>62</v>
      </c>
      <c r="C43" s="111"/>
      <c r="D43" s="159"/>
      <c r="E43" s="160"/>
      <c r="F43" s="160"/>
      <c r="G43" s="160"/>
      <c r="H43" s="160"/>
      <c r="I43" s="161"/>
      <c r="J43" s="44"/>
      <c r="K43" s="173"/>
      <c r="L43" s="174"/>
    </row>
    <row r="44" spans="1:12" s="2" customFormat="1" ht="15.8" customHeight="1">
      <c r="A44" s="94" t="s">
        <v>63</v>
      </c>
      <c r="B44" s="100" t="s">
        <v>107</v>
      </c>
      <c r="C44" s="113"/>
      <c r="D44" s="159" t="s">
        <v>108</v>
      </c>
      <c r="E44" s="160"/>
      <c r="F44" s="160"/>
      <c r="G44" s="160"/>
      <c r="H44" s="160"/>
      <c r="I44" s="161"/>
      <c r="J44" s="44">
        <f>P18</f>
        <v>110000</v>
      </c>
      <c r="K44" s="173" t="s">
        <v>109</v>
      </c>
      <c r="L44" s="174"/>
    </row>
    <row r="45" spans="1:12" s="2" customFormat="1" ht="15.8" customHeight="1">
      <c r="A45" s="95"/>
      <c r="B45" s="101" t="s">
        <v>110</v>
      </c>
      <c r="C45" s="111"/>
      <c r="D45" s="159"/>
      <c r="E45" s="160"/>
      <c r="F45" s="160"/>
      <c r="G45" s="160"/>
      <c r="H45" s="160"/>
      <c r="I45" s="161"/>
      <c r="J45" s="44"/>
      <c r="K45" s="173"/>
      <c r="L45" s="174"/>
    </row>
    <row r="46" spans="1:12" s="2" customFormat="1" ht="16.100000000000001"/>
    <row r="47" spans="1:12" s="2" customFormat="1" ht="15.65" customHeight="1">
      <c r="A47" s="128" t="s">
        <v>111</v>
      </c>
      <c r="B47" s="128"/>
      <c r="C47" s="128"/>
      <c r="D47" s="128"/>
      <c r="E47" s="128"/>
      <c r="F47" s="128"/>
      <c r="G47" s="128"/>
      <c r="H47" s="128"/>
      <c r="I47" s="128"/>
      <c r="J47" s="128"/>
      <c r="K47" s="128"/>
      <c r="L47" s="128"/>
    </row>
    <row r="48" spans="1:12" s="2" customFormat="1" ht="16.100000000000001">
      <c r="A48" s="129"/>
      <c r="B48" s="129"/>
      <c r="C48" s="129"/>
      <c r="D48" s="129"/>
      <c r="E48" s="129"/>
      <c r="F48" s="129"/>
      <c r="G48" s="129"/>
      <c r="H48" s="129"/>
      <c r="I48" s="129"/>
      <c r="J48" s="129"/>
      <c r="K48" s="129"/>
      <c r="L48" s="129"/>
    </row>
    <row r="49" spans="1:12" s="2" customFormat="1" ht="16.100000000000001"/>
    <row r="50" spans="1:12" s="2" customFormat="1" ht="16.100000000000001">
      <c r="A50" s="126" t="s">
        <v>68</v>
      </c>
      <c r="B50" s="126"/>
      <c r="C50" s="130"/>
      <c r="D50" s="131"/>
      <c r="E50" s="131"/>
      <c r="F50" s="131"/>
      <c r="G50" s="131"/>
      <c r="H50" s="131"/>
      <c r="I50" s="131"/>
      <c r="J50" s="131"/>
      <c r="K50" s="131"/>
      <c r="L50" s="132"/>
    </row>
    <row r="51" spans="1:12" s="2" customFormat="1" ht="16.100000000000001">
      <c r="C51" s="133"/>
      <c r="D51" s="134"/>
      <c r="E51" s="134"/>
      <c r="F51" s="134"/>
      <c r="G51" s="134"/>
      <c r="H51" s="134"/>
      <c r="I51" s="134"/>
      <c r="J51" s="134"/>
      <c r="K51" s="134"/>
      <c r="L51" s="135"/>
    </row>
    <row r="52" spans="1:12" s="2" customFormat="1" ht="16.100000000000001"/>
    <row r="53" spans="1:12" s="2" customFormat="1" ht="16.649999999999999" thickBot="1">
      <c r="A53" s="117" t="s">
        <v>69</v>
      </c>
      <c r="B53" s="117"/>
      <c r="C53" s="117"/>
      <c r="D53" s="117"/>
      <c r="E53" s="117"/>
      <c r="F53" s="117"/>
      <c r="G53" s="117"/>
      <c r="H53" s="117"/>
      <c r="I53" s="117"/>
      <c r="J53" s="117"/>
      <c r="K53" s="117"/>
      <c r="L53" s="117"/>
    </row>
    <row r="54" spans="1:12" s="2" customFormat="1" ht="34.5" customHeight="1">
      <c r="A54" s="127" t="s">
        <v>112</v>
      </c>
      <c r="B54" s="127"/>
      <c r="C54" s="127"/>
      <c r="D54" s="127"/>
      <c r="E54" s="127"/>
      <c r="F54" s="127"/>
      <c r="G54" s="127"/>
      <c r="H54" s="127"/>
      <c r="I54" s="127"/>
      <c r="J54" s="127"/>
      <c r="K54" s="127"/>
      <c r="L54" s="127"/>
    </row>
    <row r="55" spans="1:12" s="2" customFormat="1" ht="16.100000000000001"/>
    <row r="56" spans="1:12" s="2" customFormat="1" ht="16.649999999999999" thickBot="1">
      <c r="A56" s="136"/>
      <c r="B56" s="136"/>
      <c r="C56" s="136"/>
      <c r="D56" s="136"/>
      <c r="E56" s="136"/>
      <c r="H56" s="136"/>
      <c r="I56" s="136"/>
      <c r="J56" s="136"/>
      <c r="K56" s="136"/>
      <c r="L56" s="136"/>
    </row>
    <row r="57" spans="1:12" s="2" customFormat="1" ht="16.100000000000001">
      <c r="A57" s="137" t="s">
        <v>71</v>
      </c>
      <c r="B57" s="137"/>
      <c r="C57" s="137"/>
      <c r="D57" s="137"/>
      <c r="E57" s="137"/>
      <c r="H57" s="137" t="s">
        <v>72</v>
      </c>
      <c r="I57" s="137"/>
      <c r="J57" s="137"/>
      <c r="K57" s="137"/>
      <c r="L57" s="137"/>
    </row>
    <row r="58" spans="1:12" s="2" customFormat="1" ht="16.100000000000001"/>
    <row r="59" spans="1:12" s="2" customFormat="1" ht="16.100000000000001"/>
    <row r="60" spans="1:12" s="2" customFormat="1" ht="16.100000000000001">
      <c r="A60" s="125" t="s">
        <v>73</v>
      </c>
      <c r="B60" s="125"/>
      <c r="C60" s="125"/>
      <c r="D60" s="125"/>
      <c r="E60" s="125"/>
      <c r="F60" s="125"/>
      <c r="G60" s="125"/>
      <c r="H60" s="125"/>
      <c r="I60" s="125"/>
      <c r="J60" s="125"/>
      <c r="K60" s="125"/>
      <c r="L60" s="125"/>
    </row>
  </sheetData>
  <mergeCells count="107">
    <mergeCell ref="A7:L7"/>
    <mergeCell ref="C13:E13"/>
    <mergeCell ref="F13:H13"/>
    <mergeCell ref="I13:L13"/>
    <mergeCell ref="A1:L1"/>
    <mergeCell ref="A2:L2"/>
    <mergeCell ref="A4:B4"/>
    <mergeCell ref="C4:D4"/>
    <mergeCell ref="E4:F4"/>
    <mergeCell ref="G4:L4"/>
    <mergeCell ref="A5:B5"/>
    <mergeCell ref="C5:D5"/>
    <mergeCell ref="E5:F5"/>
    <mergeCell ref="G5:L5"/>
    <mergeCell ref="A11:B11"/>
    <mergeCell ref="C11:E11"/>
    <mergeCell ref="F11:H11"/>
    <mergeCell ref="I11:L11"/>
    <mergeCell ref="A12:B12"/>
    <mergeCell ref="C12:E12"/>
    <mergeCell ref="F12:H12"/>
    <mergeCell ref="I12:L12"/>
    <mergeCell ref="A9:L9"/>
    <mergeCell ref="A14:B14"/>
    <mergeCell ref="C14:E14"/>
    <mergeCell ref="F14:H14"/>
    <mergeCell ref="A16:B16"/>
    <mergeCell ref="C16:E16"/>
    <mergeCell ref="A18:L18"/>
    <mergeCell ref="A20:B20"/>
    <mergeCell ref="C20:E20"/>
    <mergeCell ref="B21:C21"/>
    <mergeCell ref="D21:H21"/>
    <mergeCell ref="I21:J21"/>
    <mergeCell ref="I14:L14"/>
    <mergeCell ref="A15:B15"/>
    <mergeCell ref="C15:E15"/>
    <mergeCell ref="F15:H15"/>
    <mergeCell ref="I15:L15"/>
    <mergeCell ref="D43:I43"/>
    <mergeCell ref="A38:L38"/>
    <mergeCell ref="K39:L39"/>
    <mergeCell ref="A33:I33"/>
    <mergeCell ref="J33:K33"/>
    <mergeCell ref="I31:J31"/>
    <mergeCell ref="I32:J32"/>
    <mergeCell ref="B25:C25"/>
    <mergeCell ref="D25:H25"/>
    <mergeCell ref="B26:C26"/>
    <mergeCell ref="D26:H26"/>
    <mergeCell ref="B27:C27"/>
    <mergeCell ref="D27:H27"/>
    <mergeCell ref="A31:H31"/>
    <mergeCell ref="I34:K34"/>
    <mergeCell ref="I27:J27"/>
    <mergeCell ref="I28:J28"/>
    <mergeCell ref="I29:J29"/>
    <mergeCell ref="I30:K30"/>
    <mergeCell ref="D39:I39"/>
    <mergeCell ref="A57:E57"/>
    <mergeCell ref="H57:L57"/>
    <mergeCell ref="A60:L60"/>
    <mergeCell ref="A19:B19"/>
    <mergeCell ref="F19:H19"/>
    <mergeCell ref="C19:E19"/>
    <mergeCell ref="I19:L19"/>
    <mergeCell ref="A47:L48"/>
    <mergeCell ref="A50:B50"/>
    <mergeCell ref="C50:L51"/>
    <mergeCell ref="A53:L53"/>
    <mergeCell ref="A54:L54"/>
    <mergeCell ref="A56:E56"/>
    <mergeCell ref="H56:L56"/>
    <mergeCell ref="K43:L43"/>
    <mergeCell ref="A44:A45"/>
    <mergeCell ref="K44:L44"/>
    <mergeCell ref="K45:L45"/>
    <mergeCell ref="A40:A43"/>
    <mergeCell ref="K40:L40"/>
    <mergeCell ref="K41:L41"/>
    <mergeCell ref="K42:L42"/>
    <mergeCell ref="B40:C40"/>
    <mergeCell ref="D40:I40"/>
    <mergeCell ref="B44:C44"/>
    <mergeCell ref="D44:I44"/>
    <mergeCell ref="B45:C45"/>
    <mergeCell ref="D45:I45"/>
    <mergeCell ref="I22:J22"/>
    <mergeCell ref="I23:J23"/>
    <mergeCell ref="I24:J24"/>
    <mergeCell ref="I25:J25"/>
    <mergeCell ref="I26:J26"/>
    <mergeCell ref="B28:C28"/>
    <mergeCell ref="D28:H28"/>
    <mergeCell ref="B29:C29"/>
    <mergeCell ref="D29:H29"/>
    <mergeCell ref="B22:C22"/>
    <mergeCell ref="B23:C23"/>
    <mergeCell ref="B24:C24"/>
    <mergeCell ref="D22:H22"/>
    <mergeCell ref="D23:H23"/>
    <mergeCell ref="D24:H24"/>
    <mergeCell ref="B41:C41"/>
    <mergeCell ref="D41:I41"/>
    <mergeCell ref="B42:C42"/>
    <mergeCell ref="D42:I42"/>
    <mergeCell ref="B43:C43"/>
  </mergeCells>
  <printOptions horizontalCentered="1" verticalCentered="1"/>
  <pageMargins left="0.25" right="0.25" top="0.75" bottom="0.75" header="0.3" footer="0.3"/>
  <pageSetup scale="70" fitToHeight="0" orientation="portrait" horizontalDpi="300" verticalDpi="300" r:id="rId1"/>
  <ignoredErrors>
    <ignoredError sqref="A22:A25" numberStoredAsText="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6A8B-67CD-4D07-B8BA-686B8A60C9D4}">
  <sheetPr>
    <pageSetUpPr fitToPage="1"/>
  </sheetPr>
  <dimension ref="A1:R60"/>
  <sheetViews>
    <sheetView showGridLines="0" zoomScaleNormal="100" workbookViewId="0">
      <pane ySplit="1" topLeftCell="A2" activePane="bottomLeft" state="frozen"/>
      <selection pane="bottomLeft" activeCell="F20" sqref="F20"/>
    </sheetView>
  </sheetViews>
  <sheetFormatPr defaultColWidth="8.59765625" defaultRowHeight="23.85"/>
  <cols>
    <col min="1" max="1" width="5" style="1" customWidth="1"/>
    <col min="2" max="2" width="26" style="1" customWidth="1"/>
    <col min="3" max="3" width="13.69921875" style="1" customWidth="1"/>
    <col min="4" max="4" width="18" style="1" customWidth="1"/>
    <col min="5" max="5" width="12" style="1" customWidth="1"/>
    <col min="6" max="6" width="18.09765625" style="1" customWidth="1"/>
    <col min="7" max="7" width="6" style="1" customWidth="1"/>
    <col min="8" max="8" width="7.09765625" style="1" customWidth="1"/>
    <col min="9" max="9" width="1.09765625" style="1" customWidth="1"/>
    <col min="10" max="10" width="14.3984375" style="1" customWidth="1"/>
    <col min="11" max="11" width="13.59765625" style="1" customWidth="1"/>
    <col min="12" max="12" width="13.69921875" style="1" customWidth="1"/>
    <col min="13" max="14" width="8.59765625" style="1"/>
    <col min="15" max="15" width="8.8984375" style="1" bestFit="1" customWidth="1"/>
    <col min="16" max="16" width="17.59765625" style="1" customWidth="1"/>
    <col min="17" max="17" width="8.59765625" style="1"/>
    <col min="18" max="18" width="11.59765625" style="1" customWidth="1"/>
    <col min="19" max="16384" width="8.59765625" style="1"/>
  </cols>
  <sheetData>
    <row r="1" spans="1:14" ht="32.4" customHeight="1">
      <c r="A1" s="154" t="s">
        <v>0</v>
      </c>
      <c r="B1" s="154"/>
      <c r="C1" s="154"/>
      <c r="D1" s="154"/>
      <c r="E1" s="154"/>
      <c r="F1" s="154"/>
      <c r="G1" s="154"/>
      <c r="H1" s="154"/>
      <c r="I1" s="154"/>
      <c r="J1" s="154"/>
      <c r="K1" s="154"/>
      <c r="L1" s="154"/>
    </row>
    <row r="2" spans="1:14">
      <c r="A2" s="155" t="s">
        <v>1</v>
      </c>
      <c r="B2" s="155"/>
      <c r="C2" s="155"/>
      <c r="D2" s="155"/>
      <c r="E2" s="155"/>
      <c r="F2" s="155"/>
      <c r="G2" s="155"/>
      <c r="H2" s="155"/>
      <c r="I2" s="155"/>
      <c r="J2" s="155"/>
      <c r="K2" s="155"/>
      <c r="L2" s="155"/>
    </row>
    <row r="3" spans="1:14" s="2" customFormat="1" ht="16.100000000000001"/>
    <row r="4" spans="1:14" s="2" customFormat="1" ht="15.8" customHeight="1">
      <c r="A4" s="156" t="s">
        <v>2</v>
      </c>
      <c r="B4" s="156"/>
      <c r="C4" s="150" t="s">
        <v>113</v>
      </c>
      <c r="D4" s="150"/>
      <c r="E4" s="156" t="s">
        <v>4</v>
      </c>
      <c r="F4" s="156"/>
      <c r="G4" s="150" t="s">
        <v>5</v>
      </c>
      <c r="H4" s="150"/>
      <c r="I4" s="150"/>
      <c r="J4" s="150"/>
      <c r="K4" s="150"/>
      <c r="L4" s="150"/>
    </row>
    <row r="5" spans="1:14" s="2" customFormat="1" ht="16.100000000000001">
      <c r="A5" s="157"/>
      <c r="B5" s="157"/>
      <c r="C5" s="158"/>
      <c r="D5" s="158"/>
      <c r="E5" s="156" t="s">
        <v>6</v>
      </c>
      <c r="F5" s="156"/>
      <c r="G5" s="150" t="s">
        <v>80</v>
      </c>
      <c r="H5" s="150"/>
      <c r="I5" s="150"/>
      <c r="J5" s="150"/>
      <c r="K5" s="150"/>
      <c r="L5" s="150"/>
    </row>
    <row r="6" spans="1:14" s="2" customFormat="1" ht="16.100000000000001"/>
    <row r="7" spans="1:14" s="2" customFormat="1" ht="16.100000000000001">
      <c r="A7" s="153"/>
      <c r="B7" s="153"/>
      <c r="C7" s="153"/>
      <c r="D7" s="153"/>
      <c r="E7" s="153"/>
      <c r="F7" s="153"/>
      <c r="G7" s="153"/>
      <c r="H7" s="153"/>
      <c r="I7" s="153"/>
      <c r="J7" s="153"/>
      <c r="K7" s="153"/>
      <c r="L7" s="153"/>
    </row>
    <row r="8" spans="1:14" s="2" customFormat="1" ht="16.100000000000001"/>
    <row r="9" spans="1:14" s="2" customFormat="1" ht="16.649999999999999" thickBot="1">
      <c r="A9" s="117" t="s">
        <v>8</v>
      </c>
      <c r="B9" s="117"/>
      <c r="C9" s="117"/>
      <c r="D9" s="117"/>
      <c r="E9" s="117"/>
      <c r="F9" s="117"/>
      <c r="G9" s="117"/>
      <c r="H9" s="117"/>
      <c r="I9" s="117"/>
      <c r="J9" s="117"/>
      <c r="K9" s="117"/>
      <c r="L9" s="117"/>
    </row>
    <row r="10" spans="1:14" s="2" customFormat="1" ht="16.100000000000001"/>
    <row r="11" spans="1:14" s="2" customFormat="1" ht="15.65" customHeight="1">
      <c r="A11" s="149" t="s">
        <v>9</v>
      </c>
      <c r="B11" s="149"/>
      <c r="C11" s="143">
        <f>'Energy Audit Invoice'!C11</f>
        <v>0</v>
      </c>
      <c r="D11" s="144"/>
      <c r="E11" s="145"/>
      <c r="F11" s="151" t="s">
        <v>10</v>
      </c>
      <c r="G11" s="149"/>
      <c r="H11" s="152"/>
      <c r="I11" s="150">
        <f>'Energy Audit Invoice'!I11</f>
        <v>0</v>
      </c>
      <c r="J11" s="150"/>
      <c r="K11" s="150"/>
      <c r="L11" s="150"/>
    </row>
    <row r="12" spans="1:14" s="2" customFormat="1" ht="15.65" customHeight="1">
      <c r="A12" s="149" t="s">
        <v>11</v>
      </c>
      <c r="B12" s="149"/>
      <c r="C12" s="143">
        <f>'Energy Audit Invoice'!C12</f>
        <v>0</v>
      </c>
      <c r="D12" s="144"/>
      <c r="E12" s="145"/>
      <c r="F12" s="151" t="s">
        <v>12</v>
      </c>
      <c r="G12" s="149"/>
      <c r="H12" s="152"/>
      <c r="I12" s="150">
        <f>'Energy Audit Invoice'!I12</f>
        <v>0</v>
      </c>
      <c r="J12" s="150"/>
      <c r="K12" s="150"/>
      <c r="L12" s="150"/>
    </row>
    <row r="13" spans="1:14" s="2" customFormat="1" ht="15.65" customHeight="1">
      <c r="A13" s="24"/>
      <c r="B13" s="24" t="s">
        <v>13</v>
      </c>
      <c r="C13" s="143">
        <f>'Energy Audit Invoice'!C13</f>
        <v>0</v>
      </c>
      <c r="D13" s="144"/>
      <c r="E13" s="145"/>
      <c r="F13" s="151" t="s">
        <v>14</v>
      </c>
      <c r="G13" s="149"/>
      <c r="H13" s="152"/>
      <c r="I13" s="150">
        <f>'Energy Audit Invoice'!I13</f>
        <v>0</v>
      </c>
      <c r="J13" s="150"/>
      <c r="K13" s="150"/>
      <c r="L13" s="150"/>
    </row>
    <row r="14" spans="1:14" s="2" customFormat="1" ht="15.65" customHeight="1">
      <c r="A14" s="149" t="s">
        <v>15</v>
      </c>
      <c r="B14" s="152"/>
      <c r="C14" s="143">
        <f>'Energy Audit Invoice'!C14</f>
        <v>0</v>
      </c>
      <c r="D14" s="144"/>
      <c r="E14" s="145"/>
      <c r="F14" s="151" t="s">
        <v>16</v>
      </c>
      <c r="G14" s="149"/>
      <c r="H14" s="152"/>
      <c r="I14" s="150" t="s">
        <v>17</v>
      </c>
      <c r="J14" s="150"/>
      <c r="K14" s="150"/>
      <c r="L14" s="150"/>
    </row>
    <row r="15" spans="1:14" s="2" customFormat="1" ht="15.65" customHeight="1">
      <c r="A15" s="149" t="s">
        <v>18</v>
      </c>
      <c r="B15" s="149"/>
      <c r="C15" s="143">
        <f>'Energy Audit Invoice'!C15</f>
        <v>0</v>
      </c>
      <c r="D15" s="144"/>
      <c r="E15" s="145"/>
      <c r="F15" s="151" t="s">
        <v>19</v>
      </c>
      <c r="G15" s="149"/>
      <c r="H15" s="152"/>
      <c r="I15" s="150">
        <f>'Energy Audit Invoice'!I15</f>
        <v>0</v>
      </c>
      <c r="J15" s="150"/>
      <c r="K15" s="150"/>
      <c r="L15" s="150"/>
    </row>
    <row r="16" spans="1:14" s="2" customFormat="1" ht="16.649999999999999" thickBot="1">
      <c r="A16" s="149" t="s">
        <v>20</v>
      </c>
      <c r="B16" s="149"/>
      <c r="C16" s="143">
        <f>'Energy Audit Invoice'!C16</f>
        <v>0</v>
      </c>
      <c r="D16" s="144"/>
      <c r="E16" s="145"/>
      <c r="N16" s="55" t="s">
        <v>114</v>
      </c>
    </row>
    <row r="17" spans="1:18" s="2" customFormat="1" ht="18.850000000000001" thickBot="1">
      <c r="N17" s="31" t="s">
        <v>81</v>
      </c>
      <c r="O17" s="32"/>
      <c r="P17" s="39">
        <v>8</v>
      </c>
      <c r="Q17" s="40" t="s">
        <v>82</v>
      </c>
      <c r="R17" s="33" t="s">
        <v>83</v>
      </c>
    </row>
    <row r="18" spans="1:18" s="2" customFormat="1" ht="16.649999999999999" thickBot="1">
      <c r="A18" s="117" t="s">
        <v>115</v>
      </c>
      <c r="B18" s="117"/>
      <c r="C18" s="117"/>
      <c r="D18" s="117"/>
      <c r="E18" s="117"/>
      <c r="F18" s="117"/>
      <c r="G18" s="117"/>
      <c r="H18" s="117"/>
      <c r="I18" s="117"/>
      <c r="J18" s="117"/>
      <c r="K18" s="117"/>
      <c r="L18" s="117"/>
      <c r="N18" s="34" t="s">
        <v>85</v>
      </c>
      <c r="P18" s="43">
        <f>P17*10000</f>
        <v>80000</v>
      </c>
      <c r="R18" s="35"/>
    </row>
    <row r="19" spans="1:18" s="2" customFormat="1" ht="17.350000000000001" customHeight="1">
      <c r="A19" s="168" t="s">
        <v>116</v>
      </c>
      <c r="B19" s="168"/>
      <c r="C19" s="143"/>
      <c r="D19" s="144"/>
      <c r="E19" s="145"/>
      <c r="F19" s="169" t="s">
        <v>117</v>
      </c>
      <c r="G19" s="169"/>
      <c r="H19" s="169"/>
      <c r="I19" s="170"/>
      <c r="J19" s="171"/>
      <c r="K19" s="171"/>
      <c r="L19" s="172"/>
      <c r="N19" s="34" t="s">
        <v>88</v>
      </c>
      <c r="P19" s="43">
        <f>SUM(J40:J43)</f>
        <v>0</v>
      </c>
      <c r="R19" s="35"/>
    </row>
    <row r="20" spans="1:18" s="2" customFormat="1" ht="17.45" customHeight="1" thickBot="1">
      <c r="A20" s="188" t="s">
        <v>22</v>
      </c>
      <c r="B20" s="188"/>
      <c r="C20" s="189" t="s">
        <v>23</v>
      </c>
      <c r="D20" s="190"/>
      <c r="E20" s="191"/>
      <c r="F20" s="22"/>
      <c r="G20" s="23"/>
      <c r="H20" s="23"/>
      <c r="I20" s="23"/>
      <c r="J20" s="23"/>
      <c r="K20" s="23"/>
      <c r="L20" s="23"/>
      <c r="N20" s="34" t="s">
        <v>89</v>
      </c>
      <c r="P20" s="43">
        <f>SUM(P18:P19)</f>
        <v>80000</v>
      </c>
      <c r="R20" s="35"/>
    </row>
    <row r="21" spans="1:18" s="2" customFormat="1" ht="16.100000000000001">
      <c r="A21" s="4" t="s">
        <v>24</v>
      </c>
      <c r="B21" s="192" t="s">
        <v>90</v>
      </c>
      <c r="C21" s="193"/>
      <c r="D21" s="192" t="s">
        <v>91</v>
      </c>
      <c r="E21" s="194"/>
      <c r="F21" s="194"/>
      <c r="G21" s="194"/>
      <c r="H21" s="193"/>
      <c r="I21" s="195" t="s">
        <v>26</v>
      </c>
      <c r="J21" s="196"/>
      <c r="K21" s="20" t="s">
        <v>27</v>
      </c>
      <c r="L21" s="21" t="s">
        <v>92</v>
      </c>
      <c r="N21" s="34" t="s">
        <v>93</v>
      </c>
      <c r="P21" s="28"/>
      <c r="R21" s="35"/>
    </row>
    <row r="22" spans="1:18" s="2" customFormat="1" ht="16.100000000000001">
      <c r="A22" s="6" t="s">
        <v>30</v>
      </c>
      <c r="B22" s="108" t="s">
        <v>94</v>
      </c>
      <c r="C22" s="109"/>
      <c r="D22" s="109"/>
      <c r="E22" s="109"/>
      <c r="F22" s="109"/>
      <c r="G22" s="109"/>
      <c r="H22" s="110"/>
      <c r="I22" s="162"/>
      <c r="J22" s="163"/>
      <c r="K22" s="6" t="s">
        <v>95</v>
      </c>
      <c r="L22" s="29">
        <f t="shared" ref="L22:L29" si="0">P22</f>
        <v>0</v>
      </c>
      <c r="N22" s="34"/>
      <c r="O22" s="26">
        <v>0.44</v>
      </c>
      <c r="P22" s="27">
        <f t="shared" ref="P22:P29" si="1">$P$20*O22</f>
        <v>0</v>
      </c>
      <c r="R22" s="35"/>
    </row>
    <row r="23" spans="1:18" s="2" customFormat="1" ht="16.100000000000001">
      <c r="A23" s="10" t="s">
        <v>33</v>
      </c>
      <c r="B23" s="101" t="s">
        <v>96</v>
      </c>
      <c r="C23" s="115"/>
      <c r="D23" s="101"/>
      <c r="E23" s="111"/>
      <c r="F23" s="111"/>
      <c r="G23" s="111"/>
      <c r="H23" s="112"/>
      <c r="I23" s="162"/>
      <c r="J23" s="163"/>
      <c r="K23" s="11" t="s">
        <v>95</v>
      </c>
      <c r="L23" s="30">
        <f t="shared" si="0"/>
        <v>0</v>
      </c>
      <c r="N23" s="34"/>
      <c r="O23" s="26">
        <v>0.54830000000000001</v>
      </c>
      <c r="P23" s="27">
        <f t="shared" si="1"/>
        <v>0</v>
      </c>
      <c r="R23" s="35"/>
    </row>
    <row r="24" spans="1:18" s="2" customFormat="1" ht="16.100000000000001">
      <c r="A24" s="6" t="s">
        <v>36</v>
      </c>
      <c r="B24" s="100" t="s">
        <v>97</v>
      </c>
      <c r="C24" s="116"/>
      <c r="D24" s="100"/>
      <c r="E24" s="113"/>
      <c r="F24" s="113"/>
      <c r="G24" s="113"/>
      <c r="H24" s="114"/>
      <c r="I24" s="162"/>
      <c r="J24" s="163"/>
      <c r="K24" s="6" t="s">
        <v>27</v>
      </c>
      <c r="L24" s="29">
        <f t="shared" si="0"/>
        <v>0</v>
      </c>
      <c r="N24" s="34"/>
      <c r="O24" s="26">
        <v>3.3E-3</v>
      </c>
      <c r="P24" s="27">
        <f t="shared" si="1"/>
        <v>0</v>
      </c>
      <c r="R24" s="35"/>
    </row>
    <row r="25" spans="1:18" s="2" customFormat="1" ht="16.100000000000001">
      <c r="A25" s="10" t="s">
        <v>39</v>
      </c>
      <c r="B25" s="101" t="s">
        <v>98</v>
      </c>
      <c r="C25" s="115"/>
      <c r="D25" s="101"/>
      <c r="E25" s="111"/>
      <c r="F25" s="111"/>
      <c r="G25" s="111"/>
      <c r="H25" s="112"/>
      <c r="I25" s="162"/>
      <c r="J25" s="163"/>
      <c r="K25" s="10" t="s">
        <v>27</v>
      </c>
      <c r="L25" s="30">
        <f t="shared" si="0"/>
        <v>0</v>
      </c>
      <c r="N25" s="34"/>
      <c r="O25" s="26">
        <v>3.5000000000000001E-3</v>
      </c>
      <c r="P25" s="27">
        <f t="shared" si="1"/>
        <v>0</v>
      </c>
      <c r="R25" s="35"/>
    </row>
    <row r="26" spans="1:18" s="2" customFormat="1" ht="16.100000000000001">
      <c r="A26" s="6">
        <v>5</v>
      </c>
      <c r="B26" s="100" t="s">
        <v>99</v>
      </c>
      <c r="C26" s="116"/>
      <c r="D26" s="100"/>
      <c r="E26" s="113"/>
      <c r="F26" s="113"/>
      <c r="G26" s="113"/>
      <c r="H26" s="114"/>
      <c r="I26" s="162"/>
      <c r="J26" s="163"/>
      <c r="K26" s="6" t="s">
        <v>27</v>
      </c>
      <c r="L26" s="29">
        <f t="shared" si="0"/>
        <v>0</v>
      </c>
      <c r="N26" s="34"/>
      <c r="O26" s="26">
        <v>4.8999999999999998E-3</v>
      </c>
      <c r="P26" s="27">
        <f t="shared" si="1"/>
        <v>0</v>
      </c>
      <c r="R26" s="35"/>
    </row>
    <row r="27" spans="1:18" s="2" customFormat="1" ht="16.100000000000001">
      <c r="A27" s="10">
        <v>6</v>
      </c>
      <c r="B27" s="101" t="s">
        <v>100</v>
      </c>
      <c r="C27" s="115"/>
      <c r="D27" s="101"/>
      <c r="E27" s="111"/>
      <c r="F27" s="111"/>
      <c r="G27" s="111"/>
      <c r="H27" s="112"/>
      <c r="I27" s="162"/>
      <c r="J27" s="163"/>
      <c r="K27" s="10" t="s">
        <v>27</v>
      </c>
      <c r="L27" s="30">
        <f t="shared" si="0"/>
        <v>0</v>
      </c>
      <c r="N27" s="34"/>
      <c r="O27" s="26"/>
      <c r="P27" s="27">
        <f t="shared" si="1"/>
        <v>0</v>
      </c>
      <c r="R27" s="35"/>
    </row>
    <row r="28" spans="1:18" s="2" customFormat="1" ht="16.100000000000001">
      <c r="A28" s="6">
        <v>7</v>
      </c>
      <c r="B28" s="100" t="s">
        <v>101</v>
      </c>
      <c r="C28" s="116"/>
      <c r="D28" s="100"/>
      <c r="E28" s="113"/>
      <c r="F28" s="113"/>
      <c r="G28" s="113"/>
      <c r="H28" s="114"/>
      <c r="I28" s="162"/>
      <c r="J28" s="163"/>
      <c r="K28" s="6" t="s">
        <v>27</v>
      </c>
      <c r="L28" s="29">
        <f t="shared" si="0"/>
        <v>0</v>
      </c>
      <c r="N28" s="34"/>
      <c r="O28" s="26"/>
      <c r="P28" s="27">
        <f t="shared" si="1"/>
        <v>0</v>
      </c>
      <c r="R28" s="35"/>
    </row>
    <row r="29" spans="1:18" s="2" customFormat="1" ht="16.100000000000001">
      <c r="A29" s="49">
        <v>8</v>
      </c>
      <c r="B29" s="164" t="s">
        <v>102</v>
      </c>
      <c r="C29" s="165"/>
      <c r="D29" s="164"/>
      <c r="E29" s="166"/>
      <c r="F29" s="166"/>
      <c r="G29" s="166"/>
      <c r="H29" s="167"/>
      <c r="I29" s="197"/>
      <c r="J29" s="198"/>
      <c r="K29" s="49" t="s">
        <v>27</v>
      </c>
      <c r="L29" s="47">
        <f t="shared" si="0"/>
        <v>0</v>
      </c>
      <c r="N29" s="34"/>
      <c r="O29" s="26"/>
      <c r="P29" s="27">
        <f t="shared" si="1"/>
        <v>0</v>
      </c>
      <c r="R29" s="35"/>
    </row>
    <row r="30" spans="1:18" s="2" customFormat="1" ht="16.649999999999999" thickBot="1">
      <c r="A30" s="50"/>
      <c r="B30" s="50"/>
      <c r="C30" s="50"/>
      <c r="D30" s="50"/>
      <c r="E30" s="50"/>
      <c r="F30" s="50"/>
      <c r="G30" s="50"/>
      <c r="H30" s="50"/>
      <c r="I30" s="186" t="s">
        <v>41</v>
      </c>
      <c r="J30" s="186"/>
      <c r="K30" s="187"/>
      <c r="L30" s="48">
        <f>SUM(L22:L29)</f>
        <v>0</v>
      </c>
      <c r="N30" s="36"/>
      <c r="O30" s="41">
        <f>SUM(O22:O29)</f>
        <v>0.99999999999999989</v>
      </c>
      <c r="P30" s="42">
        <f>SUM(P22:P29)</f>
        <v>0</v>
      </c>
      <c r="Q30" s="37" t="s">
        <v>103</v>
      </c>
      <c r="R30" s="38"/>
    </row>
    <row r="31" spans="1:18" s="2" customFormat="1" ht="16.100000000000001">
      <c r="A31" s="183"/>
      <c r="B31" s="183"/>
      <c r="C31" s="183"/>
      <c r="D31" s="183"/>
      <c r="E31" s="183"/>
      <c r="F31" s="183"/>
      <c r="G31" s="183"/>
      <c r="H31" s="183"/>
      <c r="I31" s="180" t="s">
        <v>42</v>
      </c>
      <c r="J31" s="181"/>
      <c r="K31" s="51">
        <f>SUM(J40:J43)</f>
        <v>0</v>
      </c>
      <c r="L31" s="53"/>
    </row>
    <row r="32" spans="1:18" s="2" customFormat="1" ht="16.100000000000001">
      <c r="A32" s="14"/>
      <c r="B32" s="14"/>
      <c r="C32" s="14"/>
      <c r="D32" s="14"/>
      <c r="E32" s="14"/>
      <c r="F32" s="14"/>
      <c r="G32" s="14"/>
      <c r="H32" s="14"/>
      <c r="I32" s="182" t="s">
        <v>43</v>
      </c>
      <c r="J32" s="98"/>
      <c r="K32" s="52">
        <f>SUM(J44:J45)</f>
        <v>80000</v>
      </c>
      <c r="L32" s="54"/>
    </row>
    <row r="33" spans="1:12" s="2" customFormat="1" ht="16.100000000000001">
      <c r="A33" s="146"/>
      <c r="B33" s="146"/>
      <c r="C33" s="146"/>
      <c r="D33" s="146"/>
      <c r="E33" s="146"/>
      <c r="F33" s="146"/>
      <c r="G33" s="146"/>
      <c r="H33" s="146"/>
      <c r="I33" s="146"/>
      <c r="J33" s="178" t="s">
        <v>44</v>
      </c>
      <c r="K33" s="179"/>
      <c r="L33" s="45">
        <f>-SUM(K31:K32)</f>
        <v>-80000</v>
      </c>
    </row>
    <row r="34" spans="1:12" s="2" customFormat="1" ht="15.8" customHeight="1">
      <c r="A34" s="25"/>
      <c r="B34" s="25"/>
      <c r="C34" s="25"/>
      <c r="D34" s="25"/>
      <c r="E34" s="25"/>
      <c r="F34" s="25"/>
      <c r="G34" s="25"/>
      <c r="H34" s="25"/>
      <c r="I34" s="184" t="s">
        <v>45</v>
      </c>
      <c r="J34" s="184"/>
      <c r="K34" s="185"/>
      <c r="L34" s="46">
        <f>L30+L33</f>
        <v>-80000</v>
      </c>
    </row>
    <row r="35" spans="1:12" s="2" customFormat="1" ht="16.100000000000001"/>
    <row r="36" spans="1:12" s="2" customFormat="1" ht="16.100000000000001"/>
    <row r="37" spans="1:12" s="2" customFormat="1" ht="16.100000000000001"/>
    <row r="38" spans="1:12" s="2" customFormat="1" ht="16.5" customHeight="1" thickBot="1">
      <c r="A38" s="117" t="s">
        <v>104</v>
      </c>
      <c r="B38" s="117"/>
      <c r="C38" s="117"/>
      <c r="D38" s="117"/>
      <c r="E38" s="117"/>
      <c r="F38" s="117"/>
      <c r="G38" s="117"/>
      <c r="H38" s="117"/>
      <c r="I38" s="117"/>
      <c r="J38" s="117"/>
      <c r="K38" s="117"/>
      <c r="L38" s="117"/>
    </row>
    <row r="39" spans="1:12" s="2" customFormat="1" ht="15.65" customHeight="1">
      <c r="A39" s="4"/>
      <c r="B39" s="56" t="s">
        <v>55</v>
      </c>
      <c r="C39" s="57"/>
      <c r="D39" s="123" t="s">
        <v>56</v>
      </c>
      <c r="E39" s="123"/>
      <c r="F39" s="123"/>
      <c r="G39" s="123"/>
      <c r="H39" s="123"/>
      <c r="I39" s="124"/>
      <c r="J39" s="4" t="s">
        <v>57</v>
      </c>
      <c r="K39" s="106" t="s">
        <v>50</v>
      </c>
      <c r="L39" s="107"/>
    </row>
    <row r="40" spans="1:12" s="2" customFormat="1" ht="15.8" customHeight="1">
      <c r="A40" s="91" t="s">
        <v>58</v>
      </c>
      <c r="B40" s="108" t="s">
        <v>59</v>
      </c>
      <c r="C40" s="109"/>
      <c r="D40" s="175"/>
      <c r="E40" s="176"/>
      <c r="F40" s="176"/>
      <c r="G40" s="176"/>
      <c r="H40" s="176"/>
      <c r="I40" s="177"/>
      <c r="J40" s="44">
        <f>0.55*I22</f>
        <v>0</v>
      </c>
      <c r="K40" s="173" t="s">
        <v>105</v>
      </c>
      <c r="L40" s="174"/>
    </row>
    <row r="41" spans="1:12" s="2" customFormat="1" ht="15.8" customHeight="1">
      <c r="A41" s="92"/>
      <c r="B41" s="101" t="s">
        <v>60</v>
      </c>
      <c r="C41" s="111"/>
      <c r="D41" s="159"/>
      <c r="E41" s="160"/>
      <c r="F41" s="160"/>
      <c r="G41" s="160"/>
      <c r="H41" s="160"/>
      <c r="I41" s="161"/>
      <c r="J41" s="44"/>
      <c r="K41" s="173"/>
      <c r="L41" s="174"/>
    </row>
    <row r="42" spans="1:12" s="2" customFormat="1" ht="15.8" customHeight="1">
      <c r="A42" s="92"/>
      <c r="B42" s="100" t="s">
        <v>106</v>
      </c>
      <c r="C42" s="113"/>
      <c r="D42" s="159"/>
      <c r="E42" s="160"/>
      <c r="F42" s="160"/>
      <c r="G42" s="160"/>
      <c r="H42" s="160"/>
      <c r="I42" s="161"/>
      <c r="J42" s="44"/>
      <c r="K42" s="173"/>
      <c r="L42" s="174"/>
    </row>
    <row r="43" spans="1:12" s="2" customFormat="1" ht="15.8" customHeight="1">
      <c r="A43" s="93"/>
      <c r="B43" s="101" t="s">
        <v>62</v>
      </c>
      <c r="C43" s="111"/>
      <c r="D43" s="159"/>
      <c r="E43" s="160"/>
      <c r="F43" s="160"/>
      <c r="G43" s="160"/>
      <c r="H43" s="160"/>
      <c r="I43" s="161"/>
      <c r="J43" s="44"/>
      <c r="K43" s="173"/>
      <c r="L43" s="174"/>
    </row>
    <row r="44" spans="1:12" s="2" customFormat="1" ht="15.8" customHeight="1">
      <c r="A44" s="94" t="s">
        <v>63</v>
      </c>
      <c r="B44" s="100" t="s">
        <v>107</v>
      </c>
      <c r="C44" s="113"/>
      <c r="D44" s="159"/>
      <c r="E44" s="160"/>
      <c r="F44" s="160"/>
      <c r="G44" s="160"/>
      <c r="H44" s="160"/>
      <c r="I44" s="161"/>
      <c r="J44" s="44">
        <f>P18</f>
        <v>80000</v>
      </c>
      <c r="K44" s="173" t="s">
        <v>109</v>
      </c>
      <c r="L44" s="174"/>
    </row>
    <row r="45" spans="1:12" s="2" customFormat="1" ht="15.8" customHeight="1">
      <c r="A45" s="95"/>
      <c r="B45" s="101" t="s">
        <v>110</v>
      </c>
      <c r="C45" s="111"/>
      <c r="D45" s="159"/>
      <c r="E45" s="160"/>
      <c r="F45" s="160"/>
      <c r="G45" s="160"/>
      <c r="H45" s="160"/>
      <c r="I45" s="161"/>
      <c r="J45" s="44"/>
      <c r="K45" s="173"/>
      <c r="L45" s="174"/>
    </row>
    <row r="46" spans="1:12" s="2" customFormat="1" ht="16.100000000000001"/>
    <row r="47" spans="1:12" s="2" customFormat="1" ht="15.65" customHeight="1">
      <c r="A47" s="128" t="s">
        <v>67</v>
      </c>
      <c r="B47" s="128"/>
      <c r="C47" s="128"/>
      <c r="D47" s="128"/>
      <c r="E47" s="128"/>
      <c r="F47" s="128"/>
      <c r="G47" s="128"/>
      <c r="H47" s="128"/>
      <c r="I47" s="128"/>
      <c r="J47" s="128"/>
      <c r="K47" s="128"/>
      <c r="L47" s="128"/>
    </row>
    <row r="48" spans="1:12" s="2" customFormat="1" ht="16.100000000000001">
      <c r="A48" s="129"/>
      <c r="B48" s="129"/>
      <c r="C48" s="129"/>
      <c r="D48" s="129"/>
      <c r="E48" s="129"/>
      <c r="F48" s="129"/>
      <c r="G48" s="129"/>
      <c r="H48" s="129"/>
      <c r="I48" s="129"/>
      <c r="J48" s="129"/>
      <c r="K48" s="129"/>
      <c r="L48" s="129"/>
    </row>
    <row r="49" spans="1:12" s="2" customFormat="1" ht="16.100000000000001"/>
    <row r="50" spans="1:12" s="2" customFormat="1" ht="16.100000000000001">
      <c r="A50" s="126" t="s">
        <v>68</v>
      </c>
      <c r="B50" s="126"/>
      <c r="C50" s="130"/>
      <c r="D50" s="131"/>
      <c r="E50" s="131"/>
      <c r="F50" s="131"/>
      <c r="G50" s="131"/>
      <c r="H50" s="131"/>
      <c r="I50" s="131"/>
      <c r="J50" s="131"/>
      <c r="K50" s="131"/>
      <c r="L50" s="132"/>
    </row>
    <row r="51" spans="1:12" s="2" customFormat="1" ht="16.100000000000001">
      <c r="C51" s="133"/>
      <c r="D51" s="134"/>
      <c r="E51" s="134"/>
      <c r="F51" s="134"/>
      <c r="G51" s="134"/>
      <c r="H51" s="134"/>
      <c r="I51" s="134"/>
      <c r="J51" s="134"/>
      <c r="K51" s="134"/>
      <c r="L51" s="135"/>
    </row>
    <row r="52" spans="1:12" s="2" customFormat="1" ht="16.100000000000001"/>
    <row r="53" spans="1:12" s="2" customFormat="1" ht="16.649999999999999" thickBot="1">
      <c r="A53" s="117" t="s">
        <v>69</v>
      </c>
      <c r="B53" s="117"/>
      <c r="C53" s="117"/>
      <c r="D53" s="117"/>
      <c r="E53" s="117"/>
      <c r="F53" s="117"/>
      <c r="G53" s="117"/>
      <c r="H53" s="117"/>
      <c r="I53" s="117"/>
      <c r="J53" s="117"/>
      <c r="K53" s="117"/>
      <c r="L53" s="117"/>
    </row>
    <row r="54" spans="1:12" s="2" customFormat="1" ht="34.5" customHeight="1">
      <c r="A54" s="127" t="s">
        <v>70</v>
      </c>
      <c r="B54" s="127"/>
      <c r="C54" s="127"/>
      <c r="D54" s="127"/>
      <c r="E54" s="127"/>
      <c r="F54" s="127"/>
      <c r="G54" s="127"/>
      <c r="H54" s="127"/>
      <c r="I54" s="127"/>
      <c r="J54" s="127"/>
      <c r="K54" s="127"/>
      <c r="L54" s="127"/>
    </row>
    <row r="55" spans="1:12" s="2" customFormat="1" ht="16.100000000000001"/>
    <row r="56" spans="1:12" s="2" customFormat="1" ht="16.649999999999999" thickBot="1">
      <c r="A56" s="136"/>
      <c r="B56" s="136"/>
      <c r="C56" s="136"/>
      <c r="D56" s="136"/>
      <c r="E56" s="136"/>
      <c r="H56" s="136"/>
      <c r="I56" s="136"/>
      <c r="J56" s="136"/>
      <c r="K56" s="136"/>
      <c r="L56" s="136"/>
    </row>
    <row r="57" spans="1:12" s="2" customFormat="1" ht="16.100000000000001">
      <c r="A57" s="137" t="s">
        <v>71</v>
      </c>
      <c r="B57" s="137"/>
      <c r="C57" s="137"/>
      <c r="D57" s="137"/>
      <c r="E57" s="137"/>
      <c r="H57" s="137" t="s">
        <v>72</v>
      </c>
      <c r="I57" s="137"/>
      <c r="J57" s="137"/>
      <c r="K57" s="137"/>
      <c r="L57" s="137"/>
    </row>
    <row r="58" spans="1:12" s="2" customFormat="1" ht="16.100000000000001"/>
    <row r="59" spans="1:12" s="2" customFormat="1" ht="16.100000000000001"/>
    <row r="60" spans="1:12" s="2" customFormat="1" ht="16.100000000000001">
      <c r="A60" s="125" t="s">
        <v>73</v>
      </c>
      <c r="B60" s="125"/>
      <c r="C60" s="125"/>
      <c r="D60" s="125"/>
      <c r="E60" s="125"/>
      <c r="F60" s="125"/>
      <c r="G60" s="125"/>
      <c r="H60" s="125"/>
      <c r="I60" s="125"/>
      <c r="J60" s="125"/>
      <c r="K60" s="125"/>
      <c r="L60" s="125"/>
    </row>
  </sheetData>
  <mergeCells count="107">
    <mergeCell ref="A1:L1"/>
    <mergeCell ref="A2:L2"/>
    <mergeCell ref="A4:B4"/>
    <mergeCell ref="C4:D4"/>
    <mergeCell ref="E4:F4"/>
    <mergeCell ref="G4:L4"/>
    <mergeCell ref="C13:E13"/>
    <mergeCell ref="F13:H13"/>
    <mergeCell ref="I13:L13"/>
    <mergeCell ref="A11:B11"/>
    <mergeCell ref="C11:E11"/>
    <mergeCell ref="F11:H11"/>
    <mergeCell ref="I11:L11"/>
    <mergeCell ref="A12:B12"/>
    <mergeCell ref="C12:E12"/>
    <mergeCell ref="F12:H12"/>
    <mergeCell ref="I12:L12"/>
    <mergeCell ref="A5:B5"/>
    <mergeCell ref="C5:D5"/>
    <mergeCell ref="E5:F5"/>
    <mergeCell ref="G5:L5"/>
    <mergeCell ref="A7:L7"/>
    <mergeCell ref="A9:L9"/>
    <mergeCell ref="A16:B16"/>
    <mergeCell ref="C16:E16"/>
    <mergeCell ref="A18:L18"/>
    <mergeCell ref="A19:B19"/>
    <mergeCell ref="C19:E19"/>
    <mergeCell ref="F19:H19"/>
    <mergeCell ref="I19:L19"/>
    <mergeCell ref="A14:B14"/>
    <mergeCell ref="C14:E14"/>
    <mergeCell ref="F14:H14"/>
    <mergeCell ref="I14:L14"/>
    <mergeCell ref="A15:B15"/>
    <mergeCell ref="C15:E15"/>
    <mergeCell ref="F15:H15"/>
    <mergeCell ref="I15:L15"/>
    <mergeCell ref="B23:C23"/>
    <mergeCell ref="D23:H23"/>
    <mergeCell ref="I23:J23"/>
    <mergeCell ref="B24:C24"/>
    <mergeCell ref="D24:H24"/>
    <mergeCell ref="I24:J24"/>
    <mergeCell ref="A20:B20"/>
    <mergeCell ref="C20:E20"/>
    <mergeCell ref="B21:C21"/>
    <mergeCell ref="D21:H21"/>
    <mergeCell ref="I21:J21"/>
    <mergeCell ref="B22:C22"/>
    <mergeCell ref="D22:H22"/>
    <mergeCell ref="I22:J22"/>
    <mergeCell ref="B27:C27"/>
    <mergeCell ref="D27:H27"/>
    <mergeCell ref="I27:J27"/>
    <mergeCell ref="B28:C28"/>
    <mergeCell ref="D28:H28"/>
    <mergeCell ref="I28:J28"/>
    <mergeCell ref="B25:C25"/>
    <mergeCell ref="D25:H25"/>
    <mergeCell ref="I25:J25"/>
    <mergeCell ref="B26:C26"/>
    <mergeCell ref="D26:H26"/>
    <mergeCell ref="I26:J26"/>
    <mergeCell ref="I32:J32"/>
    <mergeCell ref="A33:I33"/>
    <mergeCell ref="J33:K33"/>
    <mergeCell ref="I34:K34"/>
    <mergeCell ref="A38:L38"/>
    <mergeCell ref="K39:L39"/>
    <mergeCell ref="B29:C29"/>
    <mergeCell ref="D29:H29"/>
    <mergeCell ref="I29:J29"/>
    <mergeCell ref="I30:K30"/>
    <mergeCell ref="A31:H31"/>
    <mergeCell ref="I31:J31"/>
    <mergeCell ref="D39:I39"/>
    <mergeCell ref="K43:L43"/>
    <mergeCell ref="A44:A45"/>
    <mergeCell ref="K44:L44"/>
    <mergeCell ref="K45:L45"/>
    <mergeCell ref="A40:A43"/>
    <mergeCell ref="K40:L40"/>
    <mergeCell ref="K41:L41"/>
    <mergeCell ref="K42:L42"/>
    <mergeCell ref="B40:C40"/>
    <mergeCell ref="D40:I40"/>
    <mergeCell ref="B41:C41"/>
    <mergeCell ref="D41:I41"/>
    <mergeCell ref="B42:C42"/>
    <mergeCell ref="D42:I42"/>
    <mergeCell ref="B43:C43"/>
    <mergeCell ref="D43:I43"/>
    <mergeCell ref="B44:C44"/>
    <mergeCell ref="D44:I44"/>
    <mergeCell ref="B45:C45"/>
    <mergeCell ref="D45:I45"/>
    <mergeCell ref="A57:E57"/>
    <mergeCell ref="H57:L57"/>
    <mergeCell ref="A60:L60"/>
    <mergeCell ref="A47:L48"/>
    <mergeCell ref="A50:B50"/>
    <mergeCell ref="C50:L51"/>
    <mergeCell ref="A53:L53"/>
    <mergeCell ref="A54:L54"/>
    <mergeCell ref="A56:E56"/>
    <mergeCell ref="H56:L56"/>
  </mergeCells>
  <printOptions horizontalCentered="1" verticalCentered="1"/>
  <pageMargins left="0.25" right="0.25" top="0.75" bottom="0.75" header="0.3" footer="0.3"/>
  <pageSetup scale="70" fitToHeight="0"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E512B-ED23-4240-9821-5D9E0B18213F}">
  <sheetPr>
    <pageSetUpPr fitToPage="1"/>
  </sheetPr>
  <dimension ref="A1:W61"/>
  <sheetViews>
    <sheetView showGridLines="0" zoomScaleNormal="100" workbookViewId="0">
      <pane ySplit="1" topLeftCell="A10" activePane="bottomLeft" state="frozen"/>
      <selection pane="bottomLeft" activeCell="C5" sqref="C5:D5"/>
    </sheetView>
  </sheetViews>
  <sheetFormatPr defaultColWidth="8.59765625" defaultRowHeight="23.85"/>
  <cols>
    <col min="1" max="1" width="5" style="1" customWidth="1"/>
    <col min="2" max="2" width="26" style="1" customWidth="1"/>
    <col min="3" max="3" width="13.69921875" style="1" customWidth="1"/>
    <col min="4" max="4" width="18" style="1" customWidth="1"/>
    <col min="5" max="5" width="12" style="1" customWidth="1"/>
    <col min="6" max="6" width="18.09765625" style="1" customWidth="1"/>
    <col min="7" max="7" width="6" style="1" customWidth="1"/>
    <col min="8" max="8" width="4.09765625" style="1" customWidth="1"/>
    <col min="9" max="9" width="1.09765625" style="1" customWidth="1"/>
    <col min="10" max="10" width="16.296875" style="1" customWidth="1"/>
    <col min="11" max="11" width="16.8984375" style="1" customWidth="1"/>
    <col min="12" max="12" width="13.69921875" style="1" customWidth="1"/>
    <col min="13" max="14" width="8.59765625" style="1"/>
    <col min="15" max="15" width="8.8984375" style="1" bestFit="1" customWidth="1"/>
    <col min="16" max="16" width="17.59765625" style="1" customWidth="1"/>
    <col min="17" max="17" width="8.59765625" style="1"/>
    <col min="18" max="18" width="11.59765625" style="1" customWidth="1"/>
    <col min="19" max="16384" width="8.59765625" style="1"/>
  </cols>
  <sheetData>
    <row r="1" spans="1:12" ht="32.4" customHeight="1">
      <c r="A1" s="154" t="s">
        <v>74</v>
      </c>
      <c r="B1" s="154"/>
      <c r="C1" s="154"/>
      <c r="D1" s="154"/>
      <c r="E1" s="154"/>
      <c r="F1" s="154"/>
      <c r="G1" s="154"/>
      <c r="H1" s="154"/>
      <c r="I1" s="154"/>
      <c r="J1" s="154"/>
      <c r="K1" s="154"/>
      <c r="L1" s="154"/>
    </row>
    <row r="2" spans="1:12">
      <c r="A2" s="155" t="s">
        <v>1</v>
      </c>
      <c r="B2" s="155"/>
      <c r="C2" s="155"/>
      <c r="D2" s="155"/>
      <c r="E2" s="155"/>
      <c r="F2" s="155"/>
      <c r="G2" s="155"/>
      <c r="H2" s="155"/>
      <c r="I2" s="155"/>
      <c r="J2" s="155"/>
      <c r="K2" s="155"/>
      <c r="L2" s="155"/>
    </row>
    <row r="3" spans="1:12" s="2" customFormat="1" ht="16.100000000000001"/>
    <row r="4" spans="1:12" s="2" customFormat="1" ht="16.100000000000001">
      <c r="A4" s="156" t="s">
        <v>75</v>
      </c>
      <c r="B4" s="156"/>
      <c r="C4" s="150" t="s">
        <v>118</v>
      </c>
      <c r="D4" s="150"/>
      <c r="E4" s="156" t="s">
        <v>77</v>
      </c>
      <c r="F4" s="156"/>
      <c r="G4" s="150" t="s">
        <v>78</v>
      </c>
      <c r="H4" s="150"/>
      <c r="I4" s="150"/>
      <c r="J4" s="150"/>
      <c r="K4" s="150"/>
      <c r="L4" s="150"/>
    </row>
    <row r="5" spans="1:12" s="2" customFormat="1" ht="16.100000000000001">
      <c r="A5" s="157"/>
      <c r="B5" s="157"/>
      <c r="C5" s="158"/>
      <c r="D5" s="158"/>
      <c r="E5" s="156" t="s">
        <v>79</v>
      </c>
      <c r="F5" s="156"/>
      <c r="G5" s="150" t="s">
        <v>80</v>
      </c>
      <c r="H5" s="150"/>
      <c r="I5" s="150"/>
      <c r="J5" s="150"/>
      <c r="K5" s="150"/>
      <c r="L5" s="150"/>
    </row>
    <row r="6" spans="1:12" s="2" customFormat="1" ht="16.100000000000001"/>
    <row r="7" spans="1:12" s="2" customFormat="1" ht="16.100000000000001">
      <c r="A7" s="153"/>
      <c r="B7" s="153"/>
      <c r="C7" s="153"/>
      <c r="D7" s="153"/>
      <c r="E7" s="153"/>
      <c r="F7" s="153"/>
      <c r="G7" s="153"/>
      <c r="H7" s="153"/>
      <c r="I7" s="153"/>
      <c r="J7" s="153"/>
      <c r="K7" s="153"/>
      <c r="L7" s="153"/>
    </row>
    <row r="8" spans="1:12" s="2" customFormat="1" ht="16.100000000000001"/>
    <row r="9" spans="1:12" s="2" customFormat="1" ht="16.649999999999999" thickBot="1">
      <c r="A9" s="117" t="s">
        <v>8</v>
      </c>
      <c r="B9" s="117"/>
      <c r="C9" s="117"/>
      <c r="D9" s="117"/>
      <c r="E9" s="117"/>
      <c r="F9" s="117"/>
      <c r="G9" s="117"/>
      <c r="H9" s="117"/>
      <c r="I9" s="117"/>
      <c r="J9" s="117"/>
      <c r="K9" s="117"/>
      <c r="L9" s="117"/>
    </row>
    <row r="10" spans="1:12" s="2" customFormat="1" ht="16.100000000000001"/>
    <row r="11" spans="1:12" s="2" customFormat="1" ht="15.65" customHeight="1">
      <c r="A11" s="149" t="s">
        <v>9</v>
      </c>
      <c r="B11" s="149"/>
      <c r="C11" s="143">
        <f>'Energy Audit Invoice'!C11</f>
        <v>0</v>
      </c>
      <c r="D11" s="144"/>
      <c r="E11" s="145"/>
      <c r="F11" s="151" t="s">
        <v>10</v>
      </c>
      <c r="G11" s="149"/>
      <c r="H11" s="152"/>
      <c r="I11" s="150">
        <f>'Energy Audit Invoice'!I11</f>
        <v>0</v>
      </c>
      <c r="J11" s="150"/>
      <c r="K11" s="150"/>
      <c r="L11" s="150"/>
    </row>
    <row r="12" spans="1:12" s="2" customFormat="1" ht="15.65" customHeight="1">
      <c r="A12" s="149" t="s">
        <v>11</v>
      </c>
      <c r="B12" s="149"/>
      <c r="C12" s="143">
        <f>'Energy Audit Invoice'!C12</f>
        <v>0</v>
      </c>
      <c r="D12" s="144"/>
      <c r="E12" s="145"/>
      <c r="F12" s="151" t="s">
        <v>12</v>
      </c>
      <c r="G12" s="149"/>
      <c r="H12" s="152"/>
      <c r="I12" s="150">
        <f>'Energy Audit Invoice'!I12</f>
        <v>0</v>
      </c>
      <c r="J12" s="150"/>
      <c r="K12" s="150"/>
      <c r="L12" s="150"/>
    </row>
    <row r="13" spans="1:12" s="2" customFormat="1" ht="15.65" customHeight="1">
      <c r="A13" s="24"/>
      <c r="B13" s="24" t="s">
        <v>13</v>
      </c>
      <c r="C13" s="143">
        <f>'Energy Audit Invoice'!C13</f>
        <v>0</v>
      </c>
      <c r="D13" s="144"/>
      <c r="E13" s="145"/>
      <c r="F13" s="151" t="s">
        <v>14</v>
      </c>
      <c r="G13" s="149"/>
      <c r="H13" s="152"/>
      <c r="I13" s="150">
        <f>'Energy Audit Invoice'!I13</f>
        <v>0</v>
      </c>
      <c r="J13" s="150"/>
      <c r="K13" s="150"/>
      <c r="L13" s="150"/>
    </row>
    <row r="14" spans="1:12" s="2" customFormat="1" ht="15.65" customHeight="1">
      <c r="A14" s="149" t="s">
        <v>15</v>
      </c>
      <c r="B14" s="149"/>
      <c r="C14" s="143">
        <f>'Energy Audit Invoice'!C14</f>
        <v>0</v>
      </c>
      <c r="D14" s="144"/>
      <c r="E14" s="145"/>
      <c r="F14" s="151" t="s">
        <v>16</v>
      </c>
      <c r="G14" s="149"/>
      <c r="H14" s="152"/>
      <c r="I14" s="150" t="s">
        <v>17</v>
      </c>
      <c r="J14" s="150"/>
      <c r="K14" s="150"/>
      <c r="L14" s="150"/>
    </row>
    <row r="15" spans="1:12" s="2" customFormat="1" ht="15.65" customHeight="1">
      <c r="A15" s="149" t="s">
        <v>18</v>
      </c>
      <c r="B15" s="149"/>
      <c r="C15" s="143">
        <f>'Energy Audit Invoice'!C15</f>
        <v>0</v>
      </c>
      <c r="D15" s="144"/>
      <c r="E15" s="145"/>
      <c r="F15" s="151" t="s">
        <v>19</v>
      </c>
      <c r="G15" s="149"/>
      <c r="H15" s="152"/>
      <c r="I15" s="150">
        <f>'Energy Audit Invoice'!I15</f>
        <v>0</v>
      </c>
      <c r="J15" s="150"/>
      <c r="K15" s="150"/>
      <c r="L15" s="150"/>
    </row>
    <row r="16" spans="1:12" s="2" customFormat="1" ht="16.649999999999999" thickBot="1">
      <c r="A16" s="149" t="s">
        <v>20</v>
      </c>
      <c r="B16" s="149"/>
      <c r="C16" s="143">
        <f>'Energy Audit Invoice'!C16</f>
        <v>0</v>
      </c>
      <c r="D16" s="144"/>
      <c r="E16" s="145"/>
    </row>
    <row r="17" spans="1:18" s="2" customFormat="1" ht="18.850000000000001" thickBot="1">
      <c r="N17" s="31" t="s">
        <v>81</v>
      </c>
      <c r="O17" s="32"/>
      <c r="P17" s="39"/>
      <c r="Q17" s="40" t="s">
        <v>82</v>
      </c>
      <c r="R17" s="33" t="s">
        <v>83</v>
      </c>
    </row>
    <row r="18" spans="1:18" s="2" customFormat="1" ht="16.649999999999999" thickBot="1">
      <c r="A18" s="117" t="s">
        <v>84</v>
      </c>
      <c r="B18" s="117"/>
      <c r="C18" s="117"/>
      <c r="D18" s="117"/>
      <c r="E18" s="117"/>
      <c r="F18" s="117"/>
      <c r="G18" s="117"/>
      <c r="H18" s="117"/>
      <c r="I18" s="117"/>
      <c r="J18" s="117"/>
      <c r="K18" s="117"/>
      <c r="L18" s="117"/>
      <c r="N18" s="34" t="s">
        <v>85</v>
      </c>
      <c r="P18" s="43">
        <f>P17*10000</f>
        <v>0</v>
      </c>
      <c r="R18" s="35"/>
    </row>
    <row r="19" spans="1:18" s="2" customFormat="1" ht="17.350000000000001" customHeight="1">
      <c r="A19" s="168" t="s">
        <v>86</v>
      </c>
      <c r="B19" s="168"/>
      <c r="C19" s="143"/>
      <c r="D19" s="144"/>
      <c r="E19" s="145"/>
      <c r="F19" s="169" t="s">
        <v>87</v>
      </c>
      <c r="G19" s="169"/>
      <c r="H19" s="169"/>
      <c r="I19" s="170"/>
      <c r="J19" s="171"/>
      <c r="K19" s="171"/>
      <c r="L19" s="172"/>
      <c r="N19" s="34" t="s">
        <v>88</v>
      </c>
      <c r="P19" s="43">
        <f>I22*0.55</f>
        <v>0</v>
      </c>
      <c r="R19" s="35"/>
    </row>
    <row r="20" spans="1:18" s="2" customFormat="1" ht="17.45" customHeight="1" thickBot="1">
      <c r="A20" s="188" t="s">
        <v>22</v>
      </c>
      <c r="B20" s="188"/>
      <c r="C20" s="189" t="s">
        <v>23</v>
      </c>
      <c r="D20" s="190"/>
      <c r="E20" s="191"/>
      <c r="F20" s="22"/>
      <c r="G20" s="23"/>
      <c r="H20" s="23"/>
      <c r="I20" s="23"/>
      <c r="J20" s="23"/>
      <c r="K20" s="23"/>
      <c r="L20" s="23"/>
      <c r="N20" s="34" t="s">
        <v>89</v>
      </c>
      <c r="P20" s="43">
        <f>SUM(P18:P19)</f>
        <v>0</v>
      </c>
      <c r="R20" s="35"/>
    </row>
    <row r="21" spans="1:18" s="2" customFormat="1" ht="16.100000000000001">
      <c r="A21" s="4" t="s">
        <v>24</v>
      </c>
      <c r="B21" s="192" t="s">
        <v>90</v>
      </c>
      <c r="C21" s="193"/>
      <c r="D21" s="192" t="s">
        <v>91</v>
      </c>
      <c r="E21" s="194"/>
      <c r="F21" s="194"/>
      <c r="G21" s="194"/>
      <c r="H21" s="193"/>
      <c r="I21" s="195" t="s">
        <v>26</v>
      </c>
      <c r="J21" s="196"/>
      <c r="K21" s="20" t="s">
        <v>27</v>
      </c>
      <c r="L21" s="21" t="s">
        <v>92</v>
      </c>
      <c r="N21" s="34" t="s">
        <v>93</v>
      </c>
      <c r="P21" s="28"/>
      <c r="R21" s="35"/>
    </row>
    <row r="22" spans="1:18" s="2" customFormat="1" ht="16.100000000000001">
      <c r="A22" s="6" t="s">
        <v>30</v>
      </c>
      <c r="B22" s="108" t="s">
        <v>119</v>
      </c>
      <c r="C22" s="109"/>
      <c r="D22" s="109"/>
      <c r="E22" s="109"/>
      <c r="F22" s="109"/>
      <c r="G22" s="109"/>
      <c r="H22" s="110"/>
      <c r="I22" s="162">
        <f t="shared" ref="I22:I23" si="0">P17</f>
        <v>0</v>
      </c>
      <c r="J22" s="163"/>
      <c r="K22" s="6" t="s">
        <v>27</v>
      </c>
      <c r="L22" s="29"/>
      <c r="N22" s="34"/>
      <c r="O22" s="26">
        <v>0.44</v>
      </c>
      <c r="P22" s="27">
        <f>$P$20*O22</f>
        <v>0</v>
      </c>
      <c r="R22" s="35"/>
    </row>
    <row r="23" spans="1:18" s="2" customFormat="1" ht="16.100000000000001">
      <c r="A23" s="10" t="s">
        <v>33</v>
      </c>
      <c r="B23" s="101" t="s">
        <v>120</v>
      </c>
      <c r="C23" s="115"/>
      <c r="D23" s="101"/>
      <c r="E23" s="111"/>
      <c r="F23" s="111"/>
      <c r="G23" s="111"/>
      <c r="H23" s="112"/>
      <c r="I23" s="162">
        <f t="shared" si="0"/>
        <v>0</v>
      </c>
      <c r="J23" s="163"/>
      <c r="K23" s="11" t="s">
        <v>27</v>
      </c>
      <c r="L23" s="30"/>
      <c r="N23" s="34"/>
      <c r="O23" s="26">
        <v>0.54830000000000001</v>
      </c>
      <c r="P23" s="27">
        <f>$P$20*O23</f>
        <v>0</v>
      </c>
      <c r="R23" s="35"/>
    </row>
    <row r="24" spans="1:18" s="2" customFormat="1" ht="15.8" customHeight="1">
      <c r="A24" s="6" t="s">
        <v>36</v>
      </c>
      <c r="B24" s="100" t="s">
        <v>121</v>
      </c>
      <c r="C24" s="116"/>
      <c r="D24" s="100"/>
      <c r="E24" s="113"/>
      <c r="F24" s="113"/>
      <c r="G24" s="113"/>
      <c r="H24" s="114"/>
      <c r="I24" s="162">
        <f>P19</f>
        <v>0</v>
      </c>
      <c r="J24" s="163"/>
      <c r="K24" s="6" t="s">
        <v>27</v>
      </c>
      <c r="L24" s="29"/>
      <c r="N24" s="34"/>
      <c r="O24" s="26">
        <v>3.3E-3</v>
      </c>
      <c r="P24" s="27">
        <f>$P$20*O24</f>
        <v>0</v>
      </c>
      <c r="R24" s="35"/>
    </row>
    <row r="25" spans="1:18" s="2" customFormat="1" ht="15.8" customHeight="1">
      <c r="A25" s="10" t="s">
        <v>39</v>
      </c>
      <c r="B25" s="101" t="s">
        <v>122</v>
      </c>
      <c r="C25" s="115"/>
      <c r="D25" s="101"/>
      <c r="E25" s="111"/>
      <c r="F25" s="111"/>
      <c r="G25" s="111"/>
      <c r="H25" s="112"/>
      <c r="I25" s="162">
        <f>P19</f>
        <v>0</v>
      </c>
      <c r="J25" s="163"/>
      <c r="K25" s="10" t="s">
        <v>27</v>
      </c>
      <c r="L25" s="30"/>
      <c r="N25" s="34"/>
      <c r="O25" s="26">
        <v>3.5000000000000001E-3</v>
      </c>
      <c r="P25" s="27">
        <f>$P$20*O25</f>
        <v>0</v>
      </c>
      <c r="R25" s="35"/>
    </row>
    <row r="26" spans="1:18" s="2" customFormat="1" ht="15.8" customHeight="1">
      <c r="A26" s="6">
        <v>5</v>
      </c>
      <c r="B26" s="100" t="s">
        <v>123</v>
      </c>
      <c r="C26" s="116"/>
      <c r="D26" s="100"/>
      <c r="E26" s="113"/>
      <c r="F26" s="113"/>
      <c r="G26" s="113"/>
      <c r="H26" s="114"/>
      <c r="I26" s="162">
        <f>P19</f>
        <v>0</v>
      </c>
      <c r="J26" s="163"/>
      <c r="K26" s="6" t="s">
        <v>27</v>
      </c>
      <c r="L26" s="29"/>
      <c r="N26" s="34"/>
      <c r="O26" s="26">
        <v>4.8999999999999998E-3</v>
      </c>
      <c r="P26" s="27">
        <f>$P$20*O26</f>
        <v>0</v>
      </c>
      <c r="R26" s="35"/>
    </row>
    <row r="27" spans="1:18" s="2" customFormat="1" ht="16.100000000000001">
      <c r="A27" s="10">
        <v>6</v>
      </c>
      <c r="B27" s="101" t="s">
        <v>124</v>
      </c>
      <c r="C27" s="115"/>
      <c r="D27" s="101"/>
      <c r="E27" s="111"/>
      <c r="F27" s="111"/>
      <c r="G27" s="111"/>
      <c r="H27" s="112"/>
      <c r="I27" s="162">
        <f>P19</f>
        <v>0</v>
      </c>
      <c r="J27" s="163"/>
      <c r="K27" s="10" t="s">
        <v>27</v>
      </c>
      <c r="L27" s="30"/>
      <c r="N27" s="34"/>
      <c r="O27" s="26"/>
      <c r="P27" s="27">
        <f t="shared" ref="P27:P28" si="1">$P$20*O27</f>
        <v>0</v>
      </c>
      <c r="R27" s="35"/>
    </row>
    <row r="28" spans="1:18" s="2" customFormat="1" ht="15.8" customHeight="1">
      <c r="A28" s="6">
        <v>7</v>
      </c>
      <c r="B28" s="100" t="s">
        <v>125</v>
      </c>
      <c r="C28" s="116"/>
      <c r="D28" s="100"/>
      <c r="E28" s="113"/>
      <c r="F28" s="113"/>
      <c r="G28" s="113"/>
      <c r="H28" s="114"/>
      <c r="I28" s="162">
        <f>P19</f>
        <v>0</v>
      </c>
      <c r="J28" s="163"/>
      <c r="K28" s="6" t="s">
        <v>27</v>
      </c>
      <c r="L28" s="29"/>
      <c r="N28" s="34"/>
      <c r="O28" s="26"/>
      <c r="P28" s="27">
        <f t="shared" si="1"/>
        <v>0</v>
      </c>
      <c r="R28" s="35"/>
    </row>
    <row r="29" spans="1:18" s="2" customFormat="1" ht="16.649999999999999" thickBot="1">
      <c r="A29" s="50"/>
      <c r="B29" s="50"/>
      <c r="C29" s="50"/>
      <c r="D29" s="50"/>
      <c r="E29" s="50"/>
      <c r="F29" s="50"/>
      <c r="G29" s="50"/>
      <c r="H29" s="50"/>
      <c r="I29" s="186" t="s">
        <v>41</v>
      </c>
      <c r="J29" s="186"/>
      <c r="K29" s="187"/>
      <c r="L29" s="48">
        <f>SUM(L22:L28)</f>
        <v>0</v>
      </c>
      <c r="N29" s="36"/>
      <c r="O29" s="41">
        <f>SUM(O22:O28)</f>
        <v>0.99999999999999989</v>
      </c>
      <c r="P29" s="42">
        <f>SUM(P22:P28)</f>
        <v>0</v>
      </c>
      <c r="Q29" s="37" t="s">
        <v>103</v>
      </c>
      <c r="R29" s="38"/>
    </row>
    <row r="30" spans="1:18" s="2" customFormat="1" ht="16.100000000000001">
      <c r="A30" s="183"/>
      <c r="B30" s="183"/>
      <c r="C30" s="183"/>
      <c r="D30" s="183"/>
      <c r="E30" s="183"/>
      <c r="F30" s="183"/>
      <c r="G30" s="183"/>
      <c r="H30" s="183"/>
      <c r="I30" s="180" t="s">
        <v>42</v>
      </c>
      <c r="J30" s="181"/>
      <c r="K30" s="51">
        <f>SUM(J39:J42)</f>
        <v>900</v>
      </c>
      <c r="L30" s="53"/>
    </row>
    <row r="31" spans="1:18" s="2" customFormat="1" ht="16.100000000000001">
      <c r="A31" s="14"/>
      <c r="B31" s="14"/>
      <c r="C31" s="14"/>
      <c r="D31" s="14"/>
      <c r="E31" s="14"/>
      <c r="F31" s="14"/>
      <c r="G31" s="14"/>
      <c r="H31" s="14"/>
      <c r="I31" s="182" t="s">
        <v>43</v>
      </c>
      <c r="J31" s="98"/>
      <c r="K31" s="52">
        <f>SUM(J45:J46)</f>
        <v>0</v>
      </c>
      <c r="L31" s="54"/>
      <c r="P31" s="2" t="s">
        <v>126</v>
      </c>
      <c r="Q31" s="2" t="s">
        <v>127</v>
      </c>
    </row>
    <row r="32" spans="1:18" s="2" customFormat="1" ht="16.100000000000001">
      <c r="A32" s="146"/>
      <c r="B32" s="146"/>
      <c r="C32" s="146"/>
      <c r="D32" s="146"/>
      <c r="E32" s="146"/>
      <c r="F32" s="146"/>
      <c r="G32" s="146"/>
      <c r="H32" s="146"/>
      <c r="I32" s="146"/>
      <c r="J32" s="178" t="s">
        <v>44</v>
      </c>
      <c r="K32" s="179"/>
      <c r="L32" s="45">
        <f>-SUM(K30:K31)</f>
        <v>-900</v>
      </c>
      <c r="P32" s="86">
        <v>1750</v>
      </c>
      <c r="Q32" s="87" t="s">
        <v>119</v>
      </c>
      <c r="R32" s="87"/>
    </row>
    <row r="33" spans="1:18" s="2" customFormat="1" ht="15.8" customHeight="1">
      <c r="A33" s="25"/>
      <c r="B33" s="25"/>
      <c r="C33" s="25"/>
      <c r="D33" s="25"/>
      <c r="E33" s="25"/>
      <c r="F33" s="25"/>
      <c r="G33" s="25"/>
      <c r="H33" s="25"/>
      <c r="I33" s="184" t="s">
        <v>45</v>
      </c>
      <c r="J33" s="184"/>
      <c r="K33" s="185"/>
      <c r="L33" s="46">
        <f>L29+L32</f>
        <v>-900</v>
      </c>
      <c r="P33" s="86">
        <v>8000</v>
      </c>
      <c r="Q33" s="88" t="s">
        <v>120</v>
      </c>
      <c r="R33" s="88"/>
    </row>
    <row r="34" spans="1:18" s="2" customFormat="1" ht="16.100000000000001">
      <c r="P34" s="86">
        <v>4000</v>
      </c>
      <c r="Q34" s="87" t="s">
        <v>121</v>
      </c>
      <c r="R34" s="87"/>
    </row>
    <row r="35" spans="1:18" s="2" customFormat="1" ht="16.100000000000001">
      <c r="P35" s="86">
        <v>2500</v>
      </c>
      <c r="Q35" s="88" t="s">
        <v>122</v>
      </c>
      <c r="R35" s="88"/>
    </row>
    <row r="36" spans="1:18" s="2" customFormat="1" ht="16.100000000000001">
      <c r="P36" s="86">
        <v>1600</v>
      </c>
      <c r="Q36" s="87" t="s">
        <v>123</v>
      </c>
      <c r="R36" s="87"/>
    </row>
    <row r="37" spans="1:18" s="2" customFormat="1" ht="16.5" customHeight="1" thickBot="1">
      <c r="A37" s="117" t="s">
        <v>104</v>
      </c>
      <c r="B37" s="117"/>
      <c r="C37" s="117"/>
      <c r="D37" s="117"/>
      <c r="E37" s="117"/>
      <c r="F37" s="117"/>
      <c r="G37" s="117"/>
      <c r="H37" s="117"/>
      <c r="I37" s="117"/>
      <c r="J37" s="117"/>
      <c r="K37" s="117"/>
      <c r="L37" s="117"/>
      <c r="P37" s="86">
        <v>840</v>
      </c>
      <c r="Q37" s="88" t="s">
        <v>124</v>
      </c>
      <c r="R37" s="88"/>
    </row>
    <row r="38" spans="1:18" s="2" customFormat="1" ht="15.65" customHeight="1">
      <c r="A38" s="4"/>
      <c r="B38" s="56" t="s">
        <v>55</v>
      </c>
      <c r="C38" s="57"/>
      <c r="D38" s="123" t="s">
        <v>56</v>
      </c>
      <c r="E38" s="123"/>
      <c r="F38" s="123"/>
      <c r="G38" s="123"/>
      <c r="H38" s="123"/>
      <c r="I38" s="124"/>
      <c r="J38" s="4" t="s">
        <v>57</v>
      </c>
      <c r="K38" s="106" t="s">
        <v>50</v>
      </c>
      <c r="L38" s="107"/>
      <c r="P38" s="86">
        <v>840</v>
      </c>
      <c r="Q38" s="87" t="s">
        <v>125</v>
      </c>
      <c r="R38" s="87"/>
    </row>
    <row r="39" spans="1:18" s="2" customFormat="1" ht="15.8" customHeight="1">
      <c r="A39" s="91" t="s">
        <v>58</v>
      </c>
      <c r="B39" s="108" t="s">
        <v>59</v>
      </c>
      <c r="C39" s="109"/>
      <c r="D39" s="175" t="s">
        <v>128</v>
      </c>
      <c r="E39" s="176"/>
      <c r="F39" s="176"/>
      <c r="G39" s="176"/>
      <c r="H39" s="176"/>
      <c r="I39" s="177"/>
      <c r="J39" s="44">
        <v>900</v>
      </c>
      <c r="K39" s="173"/>
      <c r="L39" s="174"/>
    </row>
    <row r="40" spans="1:18" s="2" customFormat="1" ht="15.8" customHeight="1">
      <c r="A40" s="92"/>
      <c r="B40" s="101" t="s">
        <v>60</v>
      </c>
      <c r="C40" s="111"/>
      <c r="D40" s="159"/>
      <c r="E40" s="160"/>
      <c r="F40" s="160"/>
      <c r="G40" s="160"/>
      <c r="H40" s="160"/>
      <c r="I40" s="161"/>
      <c r="J40" s="44"/>
      <c r="K40" s="173"/>
      <c r="L40" s="174"/>
    </row>
    <row r="41" spans="1:18" s="2" customFormat="1" ht="15.8" customHeight="1">
      <c r="A41" s="92"/>
      <c r="B41" s="100" t="s">
        <v>106</v>
      </c>
      <c r="C41" s="113"/>
      <c r="D41" s="159"/>
      <c r="E41" s="160"/>
      <c r="F41" s="160"/>
      <c r="G41" s="160"/>
      <c r="H41" s="160"/>
      <c r="I41" s="161"/>
      <c r="J41" s="44"/>
      <c r="K41" s="173"/>
      <c r="L41" s="174"/>
    </row>
    <row r="42" spans="1:18" s="2" customFormat="1" ht="15.8" customHeight="1">
      <c r="A42" s="93"/>
      <c r="B42" s="101" t="s">
        <v>62</v>
      </c>
      <c r="C42" s="111"/>
      <c r="D42" s="159"/>
      <c r="E42" s="160"/>
      <c r="F42" s="160"/>
      <c r="G42" s="160"/>
      <c r="H42" s="160"/>
      <c r="I42" s="161"/>
      <c r="J42" s="44"/>
      <c r="K42" s="173"/>
      <c r="L42" s="174"/>
    </row>
    <row r="43" spans="1:18" s="2" customFormat="1" ht="15.8" customHeight="1">
      <c r="A43" s="94" t="s">
        <v>63</v>
      </c>
      <c r="B43" s="100" t="s">
        <v>107</v>
      </c>
      <c r="C43" s="113"/>
      <c r="D43" s="159"/>
      <c r="E43" s="160"/>
      <c r="F43" s="160"/>
      <c r="G43" s="160"/>
      <c r="H43" s="160"/>
      <c r="I43" s="161"/>
      <c r="J43" s="44"/>
      <c r="K43" s="173"/>
      <c r="L43" s="174"/>
    </row>
    <row r="44" spans="1:18" s="2" customFormat="1" ht="15.8" customHeight="1">
      <c r="A44" s="199"/>
      <c r="B44" s="101" t="s">
        <v>107</v>
      </c>
      <c r="C44" s="111"/>
      <c r="D44" s="159"/>
      <c r="E44" s="160"/>
      <c r="F44" s="160"/>
      <c r="G44" s="160"/>
      <c r="H44" s="160"/>
      <c r="I44" s="161"/>
      <c r="J44" s="44"/>
      <c r="K44" s="173"/>
      <c r="L44" s="174"/>
    </row>
    <row r="45" spans="1:18" s="2" customFormat="1" ht="15.8" customHeight="1">
      <c r="A45" s="199"/>
      <c r="B45" s="100" t="s">
        <v>107</v>
      </c>
      <c r="C45" s="113"/>
      <c r="D45" s="159"/>
      <c r="E45" s="160"/>
      <c r="F45" s="160"/>
      <c r="G45" s="160"/>
      <c r="H45" s="160"/>
      <c r="I45" s="161"/>
      <c r="J45" s="44"/>
      <c r="K45" s="173"/>
      <c r="L45" s="174"/>
    </row>
    <row r="46" spans="1:18" s="2" customFormat="1" ht="15.8" customHeight="1">
      <c r="A46" s="95"/>
      <c r="B46" s="101" t="s">
        <v>110</v>
      </c>
      <c r="C46" s="111"/>
      <c r="D46" s="159"/>
      <c r="E46" s="160"/>
      <c r="F46" s="160"/>
      <c r="G46" s="160"/>
      <c r="H46" s="160"/>
      <c r="I46" s="161"/>
      <c r="J46" s="44"/>
      <c r="K46" s="173"/>
      <c r="L46" s="174"/>
    </row>
    <row r="47" spans="1:18" s="2" customFormat="1" ht="16.100000000000001"/>
    <row r="48" spans="1:18" s="2" customFormat="1" ht="15.65" customHeight="1">
      <c r="A48" s="128" t="s">
        <v>111</v>
      </c>
      <c r="B48" s="128"/>
      <c r="C48" s="128"/>
      <c r="D48" s="128"/>
      <c r="E48" s="128"/>
      <c r="F48" s="128"/>
      <c r="G48" s="128"/>
      <c r="H48" s="128"/>
      <c r="I48" s="128"/>
      <c r="J48" s="128"/>
      <c r="K48" s="128"/>
      <c r="L48" s="128"/>
    </row>
    <row r="49" spans="1:23" s="2" customFormat="1" ht="16.100000000000001">
      <c r="A49" s="129"/>
      <c r="B49" s="129"/>
      <c r="C49" s="129"/>
      <c r="D49" s="129"/>
      <c r="E49" s="129"/>
      <c r="F49" s="129"/>
      <c r="G49" s="129"/>
      <c r="H49" s="129"/>
      <c r="I49" s="129"/>
      <c r="J49" s="129"/>
      <c r="K49" s="129"/>
      <c r="L49" s="129"/>
    </row>
    <row r="50" spans="1:23" s="2" customFormat="1" ht="16.100000000000001"/>
    <row r="51" spans="1:23" s="2" customFormat="1" ht="16.100000000000001">
      <c r="A51" s="126" t="s">
        <v>68</v>
      </c>
      <c r="B51" s="126"/>
      <c r="C51" s="130"/>
      <c r="D51" s="131"/>
      <c r="E51" s="131"/>
      <c r="F51" s="131"/>
      <c r="G51" s="131"/>
      <c r="H51" s="131"/>
      <c r="I51" s="131"/>
      <c r="J51" s="131"/>
      <c r="K51" s="131"/>
      <c r="L51" s="132"/>
    </row>
    <row r="52" spans="1:23" s="2" customFormat="1" ht="16.100000000000001">
      <c r="C52" s="133"/>
      <c r="D52" s="134"/>
      <c r="E52" s="134"/>
      <c r="F52" s="134"/>
      <c r="G52" s="134"/>
      <c r="H52" s="134"/>
      <c r="I52" s="134"/>
      <c r="J52" s="134"/>
      <c r="K52" s="134"/>
      <c r="L52" s="135"/>
    </row>
    <row r="53" spans="1:23" s="2" customFormat="1" ht="16.100000000000001"/>
    <row r="54" spans="1:23" s="2" customFormat="1" ht="16.649999999999999" thickBot="1">
      <c r="A54" s="117" t="s">
        <v>69</v>
      </c>
      <c r="B54" s="117"/>
      <c r="C54" s="117"/>
      <c r="D54" s="117"/>
      <c r="E54" s="117"/>
      <c r="F54" s="117"/>
      <c r="G54" s="117"/>
      <c r="H54" s="117"/>
      <c r="I54" s="117"/>
      <c r="J54" s="117"/>
      <c r="K54" s="117"/>
      <c r="L54" s="117"/>
    </row>
    <row r="55" spans="1:23" s="2" customFormat="1" ht="34.5" customHeight="1">
      <c r="A55" s="127" t="s">
        <v>112</v>
      </c>
      <c r="B55" s="127"/>
      <c r="C55" s="127"/>
      <c r="D55" s="127"/>
      <c r="E55" s="127"/>
      <c r="F55" s="127"/>
      <c r="G55" s="127"/>
      <c r="H55" s="127"/>
      <c r="I55" s="127"/>
      <c r="J55" s="127"/>
      <c r="K55" s="127"/>
      <c r="L55" s="127"/>
    </row>
    <row r="56" spans="1:23" s="2" customFormat="1" ht="16.100000000000001"/>
    <row r="57" spans="1:23" s="2" customFormat="1" ht="16.649999999999999" thickBot="1">
      <c r="A57" s="136"/>
      <c r="B57" s="136"/>
      <c r="C57" s="136"/>
      <c r="D57" s="136"/>
      <c r="E57" s="136"/>
      <c r="H57" s="136"/>
      <c r="I57" s="136"/>
      <c r="J57" s="136"/>
      <c r="K57" s="136"/>
      <c r="L57" s="136"/>
    </row>
    <row r="58" spans="1:23" s="2" customFormat="1" ht="16.100000000000001">
      <c r="A58" s="137" t="s">
        <v>71</v>
      </c>
      <c r="B58" s="137"/>
      <c r="C58" s="137"/>
      <c r="D58" s="137"/>
      <c r="E58" s="137"/>
      <c r="H58" s="137" t="s">
        <v>72</v>
      </c>
      <c r="I58" s="137"/>
      <c r="J58" s="137"/>
      <c r="K58" s="137"/>
      <c r="L58" s="137"/>
    </row>
    <row r="59" spans="1:23" s="2" customFormat="1" ht="16.100000000000001"/>
    <row r="60" spans="1:23" s="2" customFormat="1">
      <c r="P60" s="1"/>
      <c r="Q60" s="1"/>
      <c r="R60" s="1"/>
      <c r="S60" s="1"/>
      <c r="T60" s="1"/>
      <c r="U60" s="1"/>
      <c r="V60" s="1"/>
      <c r="W60" s="1"/>
    </row>
    <row r="61" spans="1:23" s="2" customFormat="1">
      <c r="A61" s="125" t="s">
        <v>73</v>
      </c>
      <c r="B61" s="125"/>
      <c r="C61" s="125"/>
      <c r="D61" s="125"/>
      <c r="E61" s="125"/>
      <c r="F61" s="125"/>
      <c r="G61" s="125"/>
      <c r="H61" s="125"/>
      <c r="I61" s="125"/>
      <c r="J61" s="125"/>
      <c r="K61" s="125"/>
      <c r="L61" s="125"/>
      <c r="P61" s="1"/>
      <c r="Q61" s="1"/>
      <c r="R61" s="1"/>
      <c r="S61" s="1"/>
      <c r="T61" s="1"/>
      <c r="U61" s="1"/>
      <c r="V61" s="1"/>
      <c r="W61" s="1"/>
    </row>
  </sheetData>
  <mergeCells count="110">
    <mergeCell ref="A43:A46"/>
    <mergeCell ref="B43:C43"/>
    <mergeCell ref="D43:I43"/>
    <mergeCell ref="K43:L43"/>
    <mergeCell ref="B44:C44"/>
    <mergeCell ref="D44:I44"/>
    <mergeCell ref="K44:L44"/>
    <mergeCell ref="A58:E58"/>
    <mergeCell ref="H58:L58"/>
    <mergeCell ref="A61:L61"/>
    <mergeCell ref="A48:L49"/>
    <mergeCell ref="A51:B51"/>
    <mergeCell ref="C51:L52"/>
    <mergeCell ref="A54:L54"/>
    <mergeCell ref="A55:L55"/>
    <mergeCell ref="A57:E57"/>
    <mergeCell ref="H57:L57"/>
    <mergeCell ref="B42:C42"/>
    <mergeCell ref="D42:I42"/>
    <mergeCell ref="K42:L42"/>
    <mergeCell ref="B45:C45"/>
    <mergeCell ref="D45:I45"/>
    <mergeCell ref="K45:L45"/>
    <mergeCell ref="B46:C46"/>
    <mergeCell ref="D46:I46"/>
    <mergeCell ref="K46:L46"/>
    <mergeCell ref="A39:A42"/>
    <mergeCell ref="B39:C39"/>
    <mergeCell ref="D39:I39"/>
    <mergeCell ref="K39:L39"/>
    <mergeCell ref="B40:C40"/>
    <mergeCell ref="D40:I40"/>
    <mergeCell ref="K40:L40"/>
    <mergeCell ref="B41:C41"/>
    <mergeCell ref="D41:I41"/>
    <mergeCell ref="K41:L41"/>
    <mergeCell ref="I31:J31"/>
    <mergeCell ref="A32:I32"/>
    <mergeCell ref="J32:K32"/>
    <mergeCell ref="I33:K33"/>
    <mergeCell ref="A37:L37"/>
    <mergeCell ref="D38:I38"/>
    <mergeCell ref="K38:L38"/>
    <mergeCell ref="I29:K29"/>
    <mergeCell ref="A30:H30"/>
    <mergeCell ref="I30:J30"/>
    <mergeCell ref="B27:C27"/>
    <mergeCell ref="D27:H27"/>
    <mergeCell ref="I27:J27"/>
    <mergeCell ref="B28:C28"/>
    <mergeCell ref="D28:H28"/>
    <mergeCell ref="I28:J28"/>
    <mergeCell ref="B25:C25"/>
    <mergeCell ref="D25:H25"/>
    <mergeCell ref="I25:J25"/>
    <mergeCell ref="B26:C26"/>
    <mergeCell ref="D26:H26"/>
    <mergeCell ref="I26:J26"/>
    <mergeCell ref="B23:C23"/>
    <mergeCell ref="D23:H23"/>
    <mergeCell ref="I23:J23"/>
    <mergeCell ref="B24:C24"/>
    <mergeCell ref="D24:H24"/>
    <mergeCell ref="I24:J24"/>
    <mergeCell ref="B21:C21"/>
    <mergeCell ref="D21:H21"/>
    <mergeCell ref="I21:J21"/>
    <mergeCell ref="B22:C22"/>
    <mergeCell ref="D22:H22"/>
    <mergeCell ref="I22:J22"/>
    <mergeCell ref="A18:L18"/>
    <mergeCell ref="A19:B19"/>
    <mergeCell ref="C19:E19"/>
    <mergeCell ref="F19:H19"/>
    <mergeCell ref="I19:L19"/>
    <mergeCell ref="A20:B20"/>
    <mergeCell ref="C20:E20"/>
    <mergeCell ref="A15:B15"/>
    <mergeCell ref="C15:E15"/>
    <mergeCell ref="F15:H15"/>
    <mergeCell ref="I15:L15"/>
    <mergeCell ref="A16:B16"/>
    <mergeCell ref="C16:E16"/>
    <mergeCell ref="C13:E13"/>
    <mergeCell ref="F13:H13"/>
    <mergeCell ref="I13:L13"/>
    <mergeCell ref="A14:B14"/>
    <mergeCell ref="C14:E14"/>
    <mergeCell ref="F14:H14"/>
    <mergeCell ref="I14:L14"/>
    <mergeCell ref="A12:B12"/>
    <mergeCell ref="C12:E12"/>
    <mergeCell ref="F12:H12"/>
    <mergeCell ref="I12:L12"/>
    <mergeCell ref="A5:B5"/>
    <mergeCell ref="C5:D5"/>
    <mergeCell ref="E5:F5"/>
    <mergeCell ref="G5:L5"/>
    <mergeCell ref="A7:L7"/>
    <mergeCell ref="A9:L9"/>
    <mergeCell ref="A1:L1"/>
    <mergeCell ref="A2:L2"/>
    <mergeCell ref="A4:B4"/>
    <mergeCell ref="C4:D4"/>
    <mergeCell ref="E4:F4"/>
    <mergeCell ref="G4:L4"/>
    <mergeCell ref="A11:B11"/>
    <mergeCell ref="C11:E11"/>
    <mergeCell ref="F11:H11"/>
    <mergeCell ref="I11:L11"/>
  </mergeCells>
  <printOptions horizontalCentered="1" verticalCentered="1"/>
  <pageMargins left="0.25" right="0.25" top="0.75" bottom="0.75" header="0.3" footer="0.3"/>
  <pageSetup scale="70" fitToHeight="0"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B66F3-9778-4D4E-B2A1-6A80AA7A3BFF}">
  <dimension ref="A1:G24"/>
  <sheetViews>
    <sheetView workbookViewId="0">
      <selection activeCell="B26" sqref="B26"/>
    </sheetView>
  </sheetViews>
  <sheetFormatPr defaultColWidth="25.59765625" defaultRowHeight="14.4"/>
  <cols>
    <col min="1" max="1" width="40.69921875" style="82" customWidth="1"/>
    <col min="2" max="4" width="25.59765625" style="58"/>
    <col min="5" max="5" width="9.59765625" style="58" customWidth="1"/>
    <col min="6" max="6" width="52.59765625" style="58" customWidth="1"/>
    <col min="7" max="7" width="53" style="58" customWidth="1"/>
    <col min="8" max="8" width="32.59765625" style="58" customWidth="1"/>
    <col min="9" max="16384" width="25.59765625" style="58"/>
  </cols>
  <sheetData>
    <row r="1" spans="1:7" ht="21.05">
      <c r="A1" s="200" t="s">
        <v>129</v>
      </c>
      <c r="B1" s="200"/>
      <c r="C1" s="200"/>
      <c r="D1" s="200"/>
      <c r="E1" s="200"/>
      <c r="F1" s="200"/>
      <c r="G1" s="200"/>
    </row>
    <row r="2" spans="1:7" ht="14.3" customHeight="1">
      <c r="A2" s="201" t="s">
        <v>130</v>
      </c>
      <c r="B2" s="201"/>
      <c r="C2" s="201"/>
      <c r="D2" s="201"/>
      <c r="F2" s="201" t="s">
        <v>131</v>
      </c>
      <c r="G2" s="201"/>
    </row>
    <row r="3" spans="1:7" s="59" customFormat="1" ht="38.25" customHeight="1">
      <c r="A3" s="65" t="s">
        <v>132</v>
      </c>
      <c r="B3" s="60" t="s">
        <v>133</v>
      </c>
      <c r="C3" s="60" t="s">
        <v>134</v>
      </c>
      <c r="D3" s="60" t="s">
        <v>135</v>
      </c>
      <c r="F3" s="60" t="s">
        <v>136</v>
      </c>
      <c r="G3" s="60" t="s">
        <v>137</v>
      </c>
    </row>
    <row r="4" spans="1:7" ht="27.7">
      <c r="A4" s="75" t="s">
        <v>138</v>
      </c>
      <c r="B4" s="64">
        <v>850</v>
      </c>
      <c r="C4" s="64">
        <v>1160</v>
      </c>
      <c r="D4" s="64">
        <v>1475</v>
      </c>
      <c r="F4" s="61" t="s">
        <v>139</v>
      </c>
      <c r="G4" s="61" t="s">
        <v>140</v>
      </c>
    </row>
    <row r="5" spans="1:7">
      <c r="A5" s="76" t="s">
        <v>94</v>
      </c>
      <c r="B5" s="63">
        <v>650</v>
      </c>
      <c r="C5" s="63">
        <v>750</v>
      </c>
      <c r="D5" s="63">
        <v>850</v>
      </c>
      <c r="F5" s="62" t="s">
        <v>141</v>
      </c>
      <c r="G5" s="62" t="s">
        <v>142</v>
      </c>
    </row>
    <row r="6" spans="1:7">
      <c r="A6" s="75" t="s">
        <v>143</v>
      </c>
      <c r="B6" s="64">
        <v>90</v>
      </c>
      <c r="C6" s="64">
        <v>120</v>
      </c>
      <c r="D6" s="64">
        <v>150</v>
      </c>
      <c r="F6" s="61" t="s">
        <v>144</v>
      </c>
      <c r="G6" s="61" t="s">
        <v>145</v>
      </c>
    </row>
    <row r="7" spans="1:7">
      <c r="A7" s="76" t="s">
        <v>146</v>
      </c>
      <c r="B7" s="63">
        <v>90</v>
      </c>
      <c r="C7" s="63">
        <v>120</v>
      </c>
      <c r="D7" s="63">
        <v>150</v>
      </c>
      <c r="F7" s="62" t="s">
        <v>147</v>
      </c>
      <c r="G7" s="62" t="s">
        <v>148</v>
      </c>
    </row>
    <row r="8" spans="1:7">
      <c r="A8" s="75" t="s">
        <v>149</v>
      </c>
      <c r="B8" s="64">
        <v>575</v>
      </c>
      <c r="C8" s="64">
        <v>575</v>
      </c>
      <c r="D8" s="64">
        <v>575</v>
      </c>
    </row>
    <row r="9" spans="1:7" ht="27.7">
      <c r="A9" s="76" t="s">
        <v>150</v>
      </c>
      <c r="B9" s="63">
        <v>90</v>
      </c>
      <c r="C9" s="63">
        <v>90</v>
      </c>
      <c r="D9" s="63">
        <v>90</v>
      </c>
    </row>
    <row r="10" spans="1:7" ht="27.7">
      <c r="A10" s="75" t="s">
        <v>151</v>
      </c>
      <c r="B10" s="64">
        <v>1000</v>
      </c>
      <c r="C10" s="64">
        <v>1000</v>
      </c>
      <c r="D10" s="64">
        <v>1000</v>
      </c>
    </row>
    <row r="11" spans="1:7">
      <c r="A11" s="89" t="s">
        <v>152</v>
      </c>
      <c r="B11" s="63">
        <v>200</v>
      </c>
      <c r="C11" s="63">
        <v>200</v>
      </c>
      <c r="D11" s="63">
        <v>200</v>
      </c>
    </row>
    <row r="13" spans="1:7">
      <c r="A13" s="77" t="s">
        <v>153</v>
      </c>
    </row>
    <row r="17" spans="1:4" ht="36" thickBot="1">
      <c r="A17" s="78" t="s">
        <v>154</v>
      </c>
      <c r="B17" s="68" t="s">
        <v>155</v>
      </c>
      <c r="C17" s="69" t="s">
        <v>156</v>
      </c>
      <c r="D17" s="70" t="s">
        <v>157</v>
      </c>
    </row>
    <row r="18" spans="1:4" ht="28.25" thickBot="1">
      <c r="A18" s="79" t="s">
        <v>119</v>
      </c>
      <c r="B18" s="66" t="s">
        <v>158</v>
      </c>
      <c r="C18" s="66" t="s">
        <v>159</v>
      </c>
      <c r="D18" s="71" t="s">
        <v>160</v>
      </c>
    </row>
    <row r="19" spans="1:4" ht="28.25" thickBot="1">
      <c r="A19" s="80" t="s">
        <v>120</v>
      </c>
      <c r="B19" s="67" t="s">
        <v>161</v>
      </c>
      <c r="C19" s="67" t="s">
        <v>162</v>
      </c>
      <c r="D19" s="72" t="s">
        <v>160</v>
      </c>
    </row>
    <row r="20" spans="1:4" ht="28.25" thickBot="1">
      <c r="A20" s="79" t="s">
        <v>121</v>
      </c>
      <c r="B20" s="66" t="s">
        <v>163</v>
      </c>
      <c r="C20" s="66" t="s">
        <v>162</v>
      </c>
      <c r="D20" s="71" t="s">
        <v>164</v>
      </c>
    </row>
    <row r="21" spans="1:4" ht="14.95" thickBot="1">
      <c r="A21" s="80" t="s">
        <v>122</v>
      </c>
      <c r="B21" s="67" t="s">
        <v>165</v>
      </c>
      <c r="C21" s="67" t="s">
        <v>162</v>
      </c>
      <c r="D21" s="72" t="s">
        <v>164</v>
      </c>
    </row>
    <row r="22" spans="1:4" ht="56.25" customHeight="1" thickBot="1">
      <c r="A22" s="83" t="s">
        <v>166</v>
      </c>
      <c r="B22" s="84" t="s">
        <v>167</v>
      </c>
      <c r="C22" s="84" t="s">
        <v>162</v>
      </c>
      <c r="D22" s="85" t="s">
        <v>164</v>
      </c>
    </row>
    <row r="23" spans="1:4" ht="28.25" thickBot="1">
      <c r="A23" s="80" t="s">
        <v>124</v>
      </c>
      <c r="B23" s="67" t="s">
        <v>168</v>
      </c>
      <c r="C23" s="67" t="s">
        <v>169</v>
      </c>
      <c r="D23" s="72" t="s">
        <v>160</v>
      </c>
    </row>
    <row r="24" spans="1:4" ht="27.7">
      <c r="A24" s="81" t="s">
        <v>125</v>
      </c>
      <c r="B24" s="73" t="s">
        <v>168</v>
      </c>
      <c r="C24" s="73" t="s">
        <v>169</v>
      </c>
      <c r="D24" s="74" t="s">
        <v>160</v>
      </c>
    </row>
  </sheetData>
  <mergeCells count="3">
    <mergeCell ref="A1:G1"/>
    <mergeCell ref="A2:D2"/>
    <mergeCell ref="F2:G2"/>
  </mergeCells>
  <hyperlinks>
    <hyperlink ref="A11" r:id="rId1" tooltip="DIY Incentives" display="https://focusonenergy.com/residential/diy" xr:uid="{711C892A-2EA9-4FE5-BA43-59253A77AB8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7716-BCA5-434C-BEAF-EB0D9AAEF6B0}">
  <dimension ref="A2:B25"/>
  <sheetViews>
    <sheetView workbookViewId="0">
      <selection activeCell="B31" sqref="B31"/>
    </sheetView>
  </sheetViews>
  <sheetFormatPr defaultRowHeight="14.4"/>
  <cols>
    <col min="1" max="1" width="35.09765625" customWidth="1"/>
    <col min="2" max="2" width="39.3984375" customWidth="1"/>
  </cols>
  <sheetData>
    <row r="2" spans="1:2">
      <c r="A2" t="s">
        <v>90</v>
      </c>
      <c r="B2" t="s">
        <v>91</v>
      </c>
    </row>
    <row r="3" spans="1:2">
      <c r="A3" t="s">
        <v>94</v>
      </c>
      <c r="B3" t="s">
        <v>174</v>
      </c>
    </row>
    <row r="4" spans="1:2">
      <c r="B4" t="s">
        <v>170</v>
      </c>
    </row>
    <row r="5" spans="1:2">
      <c r="B5" t="s">
        <v>171</v>
      </c>
    </row>
    <row r="6" spans="1:2">
      <c r="B6" t="s">
        <v>175</v>
      </c>
    </row>
    <row r="7" spans="1:2">
      <c r="B7" t="s">
        <v>172</v>
      </c>
    </row>
    <row r="8" spans="1:2">
      <c r="B8" t="s">
        <v>173</v>
      </c>
    </row>
    <row r="11" spans="1:2">
      <c r="A11" t="s">
        <v>96</v>
      </c>
      <c r="B11" t="s">
        <v>189</v>
      </c>
    </row>
    <row r="12" spans="1:2">
      <c r="B12" t="s">
        <v>176</v>
      </c>
    </row>
    <row r="13" spans="1:2">
      <c r="B13" s="90" t="s">
        <v>177</v>
      </c>
    </row>
    <row r="14" spans="1:2">
      <c r="B14" s="90" t="s">
        <v>178</v>
      </c>
    </row>
    <row r="15" spans="1:2">
      <c r="B15" s="90" t="s">
        <v>179</v>
      </c>
    </row>
    <row r="16" spans="1:2">
      <c r="B16" s="90" t="s">
        <v>180</v>
      </c>
    </row>
    <row r="17" spans="1:2">
      <c r="B17" s="90" t="s">
        <v>181</v>
      </c>
    </row>
    <row r="18" spans="1:2">
      <c r="B18" s="90" t="s">
        <v>182</v>
      </c>
    </row>
    <row r="19" spans="1:2">
      <c r="B19" s="90" t="s">
        <v>183</v>
      </c>
    </row>
    <row r="20" spans="1:2">
      <c r="B20" s="90" t="s">
        <v>184</v>
      </c>
    </row>
    <row r="21" spans="1:2">
      <c r="B21" t="s">
        <v>185</v>
      </c>
    </row>
    <row r="23" spans="1:2" ht="15.8" customHeight="1">
      <c r="A23" t="s">
        <v>97</v>
      </c>
      <c r="B23" t="s">
        <v>186</v>
      </c>
    </row>
    <row r="24" spans="1:2" ht="15.8" customHeight="1">
      <c r="A24" t="s">
        <v>98</v>
      </c>
      <c r="B24" t="s">
        <v>187</v>
      </c>
    </row>
    <row r="25" spans="1:2" ht="15.8" customHeight="1">
      <c r="A25" t="s">
        <v>99</v>
      </c>
      <c r="B25" t="s">
        <v>188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273AA26FD9994BBAEA2399CADD8386" ma:contentTypeVersion="14" ma:contentTypeDescription="Create a new document." ma:contentTypeScope="" ma:versionID="06d55c2c27450aa79ddfdcfea759218e">
  <xsd:schema xmlns:xsd="http://www.w3.org/2001/XMLSchema" xmlns:xs="http://www.w3.org/2001/XMLSchema" xmlns:p="http://schemas.microsoft.com/office/2006/metadata/properties" xmlns:ns2="c4a6462f-5924-43e2-beed-8f1f68db5150" xmlns:ns3="1f795f9f-c4bf-45a8-babc-688eda4cce37" targetNamespace="http://schemas.microsoft.com/office/2006/metadata/properties" ma:root="true" ma:fieldsID="7c9bb1ec24a6846d5da87eba1840009a" ns2:_="" ns3:_="">
    <xsd:import namespace="c4a6462f-5924-43e2-beed-8f1f68db5150"/>
    <xsd:import namespace="1f795f9f-c4bf-45a8-babc-688eda4cce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fasdfa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6462f-5924-43e2-beed-8f1f68db51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57e1c2-7dae-4faa-88c5-b3c852f880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fasdfaf" ma:index="21" nillable="true" ma:displayName="fasdfaf" ma:internalName="fasdfaf">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1f795f9f-c4bf-45a8-babc-688eda4cce3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7627fc6-7080-4837-9271-8c152071a1db}" ma:internalName="TaxCatchAll" ma:showField="CatchAllData" ma:web="1f795f9f-c4bf-45a8-babc-688eda4cce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asdfaf xmlns="c4a6462f-5924-43e2-beed-8f1f68db5150" xsi:nil="true"/>
    <TaxCatchAll xmlns="1f795f9f-c4bf-45a8-babc-688eda4cce37" xsi:nil="true"/>
    <lcf76f155ced4ddcb4097134ff3c332f xmlns="c4a6462f-5924-43e2-beed-8f1f68db51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BBF01E-CE46-414C-8FE1-DEBCB0B332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a6462f-5924-43e2-beed-8f1f68db5150"/>
    <ds:schemaRef ds:uri="1f795f9f-c4bf-45a8-babc-688eda4cce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05AC23-6967-4527-A1C9-8BD90C68ED4D}">
  <ds:schemaRefs>
    <ds:schemaRef ds:uri="http://schemas.microsoft.com/sharepoint/v3/contenttype/forms"/>
  </ds:schemaRefs>
</ds:datastoreItem>
</file>

<file path=customXml/itemProps3.xml><?xml version="1.0" encoding="utf-8"?>
<ds:datastoreItem xmlns:ds="http://schemas.openxmlformats.org/officeDocument/2006/customXml" ds:itemID="{D6BEBCDD-8FF9-435C-8328-D1B4EFDED650}">
  <ds:schemaRefs>
    <ds:schemaRef ds:uri="http://schemas.microsoft.com/office/2006/documentManagement/types"/>
    <ds:schemaRef ds:uri="http://purl.org/dc/elements/1.1/"/>
    <ds:schemaRef ds:uri="http://purl.org/dc/terms/"/>
    <ds:schemaRef ds:uri="http://schemas.microsoft.com/office/infopath/2007/PartnerControls"/>
    <ds:schemaRef ds:uri="http://schemas.microsoft.com/office/2006/metadata/properties"/>
    <ds:schemaRef ds:uri="http://www.w3.org/XML/1998/namespace"/>
    <ds:schemaRef ds:uri="http://purl.org/dc/dcmitype/"/>
    <ds:schemaRef ds:uri="http://schemas.openxmlformats.org/package/2006/metadata/core-properties"/>
    <ds:schemaRef ds:uri="1f795f9f-c4bf-45a8-babc-688eda4cce37"/>
    <ds:schemaRef ds:uri="c4a6462f-5924-43e2-beed-8f1f68db51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Energy Audit Invoice</vt:lpstr>
      <vt:lpstr>HOMES Proposal-Contract</vt:lpstr>
      <vt:lpstr>HOMES Project Invoice</vt:lpstr>
      <vt:lpstr>HEAR Proposal-Contract</vt:lpstr>
      <vt:lpstr>Resources</vt:lpstr>
      <vt:lpstr>Measure Description Bank</vt:lpstr>
      <vt:lpstr>'Energy Audit Invoice'!Print_Area</vt:lpstr>
      <vt:lpstr>'HEAR Proposal-Contract'!Print_Area</vt:lpstr>
      <vt:lpstr>'HOMES Project Invoice'!Print_Area</vt:lpstr>
      <vt:lpstr>'HOMES Proposal-Contract'!Print_Area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Nicholas Wood</cp:lastModifiedBy>
  <cp:revision>0</cp:revision>
  <dcterms:created xsi:type="dcterms:W3CDTF">2026-05-31T18:53:06Z</dcterms:created>
  <dcterms:modified xsi:type="dcterms:W3CDTF">2026-07-20T17:19:26Z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0x010100AF273AA26FD9994BBAEA2399CADD8386</vt:lpwstr>
  </property>
  <property fmtid="{D5CDD505-2E9C-101B-9397-08002B2CF9AE}" pid="3" name="MediaServiceImageTags">
    <vt:lpwstr/>
  </property>
</Properties>
</file>